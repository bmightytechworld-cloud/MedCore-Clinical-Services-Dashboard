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D71B31D-17C4-450B-B4C5-D339CB1DE6B1}" xr6:coauthVersionLast="47" xr6:coauthVersionMax="47" xr10:uidLastSave="{00000000-0000-0000-0000-000000000000}"/>
  <bookViews>
    <workbookView xWindow="-120" yWindow="-120" windowWidth="20730" windowHeight="11160" xr2:uid="{233DDA91-DFCB-4E93-A7D4-1D0F0EB47480}"/>
  </bookViews>
  <sheets>
    <sheet name="Patient Visit" sheetId="1" r:id="rId1"/>
    <sheet name="Doc. Database" sheetId="2" r:id="rId2"/>
    <sheet name="Billing Records" sheetId="3" r:id="rId3"/>
    <sheet name="Master Clinical Table" sheetId="6" r:id="rId4"/>
    <sheet name="Input Sheet" sheetId="5" r:id="rId5"/>
    <sheet name="Summary Dashboard" sheetId="7" r:id="rId6"/>
  </sheets>
  <definedNames>
    <definedName name="ExternalData_1" localSheetId="3" hidden="1">'Master Clinical Table'!$A$1:$R$38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7" l="1"/>
  <c r="M5" i="7"/>
  <c r="M4" i="7"/>
  <c r="M3" i="7"/>
  <c r="F6" i="7"/>
  <c r="F5" i="7"/>
  <c r="F4" i="7"/>
  <c r="F3" i="7"/>
  <c r="B5" i="7" a="1"/>
  <c r="B5" i="7" s="1"/>
  <c r="B6" i="7" a="1"/>
  <c r="B6" i="7" s="1"/>
  <c r="B7" i="7"/>
  <c r="B8" i="7"/>
  <c r="B4" i="7"/>
  <c r="B3" i="7"/>
  <c r="B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C73549-F660-4D56-A645-32024D958142}" keepAlive="1" name="Query - Cleaned Billing Record" description="Connection to the 'Cleaned Billing Record' query in the workbook." type="5" refreshedVersion="0" background="1">
    <dbPr connection="Provider=Microsoft.Mashup.OleDb.1;Data Source=$Workbook$;Location=&quot;Cleaned Billing Record&quot;;Extended Properties=&quot;&quot;" command="SELECT * FROM [Cleaned Billing Record]"/>
  </connection>
  <connection id="2" xr16:uid="{1E560B0D-3BD5-45EE-AB33-EED6C53E5217}" keepAlive="1" name="Query - Cleaned Doc  DTB" description="Connection to the 'Cleaned Doc  DTB' query in the workbook." type="5" refreshedVersion="0" background="1">
    <dbPr connection="Provider=Microsoft.Mashup.OleDb.1;Data Source=$Workbook$;Location=&quot;Cleaned Doc  DTB&quot;;Extended Properties=&quot;&quot;" command="SELECT * FROM [Cleaned Doc  DTB]"/>
  </connection>
  <connection id="3" xr16:uid="{959D478D-880B-45DC-9377-E20B07112273}" keepAlive="1" name="Query - Cleaned Payment Visit" description="Connection to the 'Cleaned Payment Visit' query in the workbook." type="5" refreshedVersion="0" background="1">
    <dbPr connection="Provider=Microsoft.Mashup.OleDb.1;Data Source=$Workbook$;Location=&quot;Cleaned Payment Visit&quot;;Extended Properties=&quot;&quot;" command="SELECT * FROM [Cleaned Payment Visit]"/>
  </connection>
  <connection id="4" xr16:uid="{C703F135-AAAB-4291-AE9C-D1ED64E4CD6D}" keepAlive="1" name="Query - First Merge" description="Connection to the 'First Merge' query in the workbook." type="5" refreshedVersion="0" background="1">
    <dbPr connection="Provider=Microsoft.Mashup.OleDb.1;Data Source=$Workbook$;Location=&quot;First Merge&quot;;Extended Properties=&quot;&quot;" command="SELECT * FROM [First Merge]"/>
  </connection>
  <connection id="5" xr16:uid="{3906CBC8-1B37-40E6-87CE-2B918B33B543}" keepAlive="1" name="Query - Master Clinical Table" description="Connection to the 'Master Clinical Table' query in the workbook." type="5" refreshedVersion="8" background="1" saveData="1">
    <dbPr connection="Provider=Microsoft.Mashup.OleDb.1;Data Source=$Workbook$;Location=&quot;Master Clinical Table&quot;;Extended Properties=&quot;&quot;" command="SELECT * FROM [Master Clinical Table]"/>
  </connection>
</connections>
</file>

<file path=xl/sharedStrings.xml><?xml version="1.0" encoding="utf-8"?>
<sst xmlns="http://schemas.openxmlformats.org/spreadsheetml/2006/main" count="948" uniqueCount="202">
  <si>
    <t>Visit ID</t>
  </si>
  <si>
    <t>Visit Date</t>
  </si>
  <si>
    <t>Patient ID</t>
  </si>
  <si>
    <t>Doctor ID</t>
  </si>
  <si>
    <t>Department</t>
  </si>
  <si>
    <t>Diagnosis</t>
  </si>
  <si>
    <t>Visit Type</t>
  </si>
  <si>
    <t>Insurance Type</t>
  </si>
  <si>
    <t>Copay Amount</t>
  </si>
  <si>
    <t>Status</t>
  </si>
  <si>
    <t>VIS001</t>
  </si>
  <si>
    <t>01/15/2024</t>
  </si>
  <si>
    <t>PAT001</t>
  </si>
  <si>
    <t>DOC001</t>
  </si>
  <si>
    <t>cardiology</t>
  </si>
  <si>
    <t>Hypertension</t>
  </si>
  <si>
    <t>Follow-up</t>
  </si>
  <si>
    <t>Private</t>
  </si>
  <si>
    <t>Completed</t>
  </si>
  <si>
    <t>VIS002</t>
  </si>
  <si>
    <t>PAT002</t>
  </si>
  <si>
    <t>DOC002</t>
  </si>
  <si>
    <t>ORTHOPEDICS</t>
  </si>
  <si>
    <t>Fracture</t>
  </si>
  <si>
    <t>Emergency</t>
  </si>
  <si>
    <t>Medicare</t>
  </si>
  <si>
    <t>VIS003</t>
  </si>
  <si>
    <t>January 17 2024</t>
  </si>
  <si>
    <t>PAT003</t>
  </si>
  <si>
    <t>DOC003</t>
  </si>
  <si>
    <t>Pediatrics</t>
  </si>
  <si>
    <t>Flu</t>
  </si>
  <si>
    <t>Routine</t>
  </si>
  <si>
    <t>Medicaid</t>
  </si>
  <si>
    <t>completed</t>
  </si>
  <si>
    <t>VIS004</t>
  </si>
  <si>
    <t>01/18/2024</t>
  </si>
  <si>
    <t>PAT004</t>
  </si>
  <si>
    <t>CARDIOLOGY</t>
  </si>
  <si>
    <t>Chest Pain</t>
  </si>
  <si>
    <t>VIS005</t>
  </si>
  <si>
    <t>PAT005</t>
  </si>
  <si>
    <t>DOC004</t>
  </si>
  <si>
    <t>general practice</t>
  </si>
  <si>
    <t>Cold</t>
  </si>
  <si>
    <t>VIS006</t>
  </si>
  <si>
    <t>January 20 2024</t>
  </si>
  <si>
    <t>PAT006</t>
  </si>
  <si>
    <t>orthopedics</t>
  </si>
  <si>
    <t>Back Pain</t>
  </si>
  <si>
    <t>VIS007</t>
  </si>
  <si>
    <t>01/21/2024</t>
  </si>
  <si>
    <t>PAT007</t>
  </si>
  <si>
    <t>PEDIATRICS</t>
  </si>
  <si>
    <t>Asthma</t>
  </si>
  <si>
    <t>VIS008</t>
  </si>
  <si>
    <t>PAT008</t>
  </si>
  <si>
    <t>General Practice</t>
  </si>
  <si>
    <t>Diabetes</t>
  </si>
  <si>
    <t>VIS009</t>
  </si>
  <si>
    <t>January 23 2024</t>
  </si>
  <si>
    <t>PAT009</t>
  </si>
  <si>
    <t>Heart Disease</t>
  </si>
  <si>
    <t>COMPLETED</t>
  </si>
  <si>
    <t>VIS010</t>
  </si>
  <si>
    <t>01/24/2024</t>
  </si>
  <si>
    <t>PAT010</t>
  </si>
  <si>
    <t>Knee Pain</t>
  </si>
  <si>
    <t>VIS011</t>
  </si>
  <si>
    <t>PAT011</t>
  </si>
  <si>
    <t>pediatrics</t>
  </si>
  <si>
    <t>Fever</t>
  </si>
  <si>
    <t>VIS012</t>
  </si>
  <si>
    <t>January 26 2024</t>
  </si>
  <si>
    <t>PAT012</t>
  </si>
  <si>
    <t>GENERAL PRACTICE</t>
  </si>
  <si>
    <t>Anxiety</t>
  </si>
  <si>
    <t>VIS013</t>
  </si>
  <si>
    <t>01/27/2024</t>
  </si>
  <si>
    <t>PAT013</t>
  </si>
  <si>
    <t>Cardiology</t>
  </si>
  <si>
    <t>Arrhythmia</t>
  </si>
  <si>
    <t>VIS014</t>
  </si>
  <si>
    <t>PAT014</t>
  </si>
  <si>
    <t>Shoulder Pain</t>
  </si>
  <si>
    <t>VIS015</t>
  </si>
  <si>
    <t>January 29 2024</t>
  </si>
  <si>
    <t>PAT015</t>
  </si>
  <si>
    <t>Rash</t>
  </si>
  <si>
    <t>VIS016</t>
  </si>
  <si>
    <t>01/30/2024</t>
  </si>
  <si>
    <t>PAT016</t>
  </si>
  <si>
    <t>Migraine</t>
  </si>
  <si>
    <t>VIS017</t>
  </si>
  <si>
    <t>PAT017</t>
  </si>
  <si>
    <t>High Blood Pressure</t>
  </si>
  <si>
    <t>VIS018</t>
  </si>
  <si>
    <t>February 1 2024</t>
  </si>
  <si>
    <t>PAT018</t>
  </si>
  <si>
    <t>Orthopedics</t>
  </si>
  <si>
    <t>Sprain</t>
  </si>
  <si>
    <t>VIS019</t>
  </si>
  <si>
    <t>PAT019</t>
  </si>
  <si>
    <t>Infection</t>
  </si>
  <si>
    <t>VIS020</t>
  </si>
  <si>
    <t>PAT020</t>
  </si>
  <si>
    <t>Fatigue</t>
  </si>
  <si>
    <t>VIS021</t>
  </si>
  <si>
    <t>February 4 2024</t>
  </si>
  <si>
    <t>PAT021</t>
  </si>
  <si>
    <t>VIS022</t>
  </si>
  <si>
    <t>PAT022</t>
  </si>
  <si>
    <t>Hip Pain</t>
  </si>
  <si>
    <t>VIS023</t>
  </si>
  <si>
    <t>PAT023</t>
  </si>
  <si>
    <t>Allergies</t>
  </si>
  <si>
    <t>VIS024</t>
  </si>
  <si>
    <t>February 7 2024</t>
  </si>
  <si>
    <t>PAT024</t>
  </si>
  <si>
    <t>Depression</t>
  </si>
  <si>
    <t>VIS025</t>
  </si>
  <si>
    <t>PAT025</t>
  </si>
  <si>
    <t>Heart Failure</t>
  </si>
  <si>
    <t>VIS026</t>
  </si>
  <si>
    <t>PAT026</t>
  </si>
  <si>
    <t>Arthritis</t>
  </si>
  <si>
    <t>VIS027</t>
  </si>
  <si>
    <t>February 10 2024</t>
  </si>
  <si>
    <t>PAT027</t>
  </si>
  <si>
    <t>Bronchitis</t>
  </si>
  <si>
    <t>VIS028</t>
  </si>
  <si>
    <t>PAT028</t>
  </si>
  <si>
    <t>Insomnia</t>
  </si>
  <si>
    <t>VIS029</t>
  </si>
  <si>
    <t>PAT029</t>
  </si>
  <si>
    <t>Stroke</t>
  </si>
  <si>
    <t>VIS030</t>
  </si>
  <si>
    <t>February 13 2024</t>
  </si>
  <si>
    <t>PAT030</t>
  </si>
  <si>
    <t>Muscle Tear</t>
  </si>
  <si>
    <t>VIS031</t>
  </si>
  <si>
    <t>02/14/2024</t>
  </si>
  <si>
    <t>PAT031</t>
  </si>
  <si>
    <t>Ear Infection</t>
  </si>
  <si>
    <t>VIS032</t>
  </si>
  <si>
    <t>PAT032</t>
  </si>
  <si>
    <t>VIS033</t>
  </si>
  <si>
    <t>February 16 2024</t>
  </si>
  <si>
    <t>PAT033</t>
  </si>
  <si>
    <t>Palpitations</t>
  </si>
  <si>
    <t>VIS034</t>
  </si>
  <si>
    <t>02/17/2024</t>
  </si>
  <si>
    <t>PAT034</t>
  </si>
  <si>
    <t>Sciatica</t>
  </si>
  <si>
    <t>VIS035</t>
  </si>
  <si>
    <t>PAT035</t>
  </si>
  <si>
    <t>Chickenpox</t>
  </si>
  <si>
    <t>VIS036</t>
  </si>
  <si>
    <t>February 19 2024</t>
  </si>
  <si>
    <t>PAT036</t>
  </si>
  <si>
    <t>Doctor Name</t>
  </si>
  <si>
    <t>Specialization</t>
  </si>
  <si>
    <t>Years Experience</t>
  </si>
  <si>
    <t>Consultation Fee</t>
  </si>
  <si>
    <t>Dr. James Carter</t>
  </si>
  <si>
    <t>Cardiologist</t>
  </si>
  <si>
    <t>Dr. Sarah Mitchell</t>
  </si>
  <si>
    <t>Orthopedic Surgeon</t>
  </si>
  <si>
    <t>Dr. Emily Rodriguez</t>
  </si>
  <si>
    <t>Pediatrician</t>
  </si>
  <si>
    <t>Dr. Michael Thompson</t>
  </si>
  <si>
    <t>General Practitioner</t>
  </si>
  <si>
    <t>Treatment Cost</t>
  </si>
  <si>
    <t>Insurance Coverage</t>
  </si>
  <si>
    <t>Patient Balance</t>
  </si>
  <si>
    <t>Payment Status</t>
  </si>
  <si>
    <t>Paid</t>
  </si>
  <si>
    <t>Pending</t>
  </si>
  <si>
    <t>Follow-Up</t>
  </si>
  <si>
    <t>50</t>
  </si>
  <si>
    <t>75</t>
  </si>
  <si>
    <t>20</t>
  </si>
  <si>
    <t>30</t>
  </si>
  <si>
    <t>40</t>
  </si>
  <si>
    <t>60</t>
  </si>
  <si>
    <t>45</t>
  </si>
  <si>
    <t>65</t>
  </si>
  <si>
    <t>35</t>
  </si>
  <si>
    <t>55</t>
  </si>
  <si>
    <t xml:space="preserve"> Visit ID</t>
  </si>
  <si>
    <t xml:space="preserve"> Visit Date</t>
  </si>
  <si>
    <t xml:space="preserve"> Diagnosis</t>
  </si>
  <si>
    <t xml:space="preserve"> Visit Type</t>
  </si>
  <si>
    <t xml:space="preserve"> Insurance Type</t>
  </si>
  <si>
    <t>Total Revenue</t>
  </si>
  <si>
    <t>Total Outstanding Balance</t>
  </si>
  <si>
    <t>Total Visits</t>
  </si>
  <si>
    <t>Busiest Department</t>
  </si>
  <si>
    <t>Most Common Diagnosis</t>
  </si>
  <si>
    <t>Total Paid Visits</t>
  </si>
  <si>
    <t>Total Pending Visits</t>
  </si>
  <si>
    <t>Total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</si>
</sst>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0" fillId="0" borderId="0" xfId="0" applyNumberForma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5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'Summary Dashboard'!$F$2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'Summary Dashboard'!$E$3:$E$6</c:f>
              <c:strCache>
                <c:ptCount val="4"/>
                <c:pt idx="0">
                  <c:v>Cardiology</c:v>
                </c:pt>
                <c:pt idx="1">
                  <c:v>Orthopedics</c:v>
                </c:pt>
                <c:pt idx="2">
                  <c:v>Pediatrics</c:v>
                </c:pt>
                <c:pt idx="3">
                  <c:v>General Practice</c:v>
                </c:pt>
              </c:strCache>
            </c:strRef>
          </c:cat>
          <c:val>
            <c:numRef>
              <c:f>'Summary Dashboard'!$F$3:$F$6</c:f>
              <c:numCache>
                <c:formatCode>General</c:formatCode>
                <c:ptCount val="4"/>
                <c:pt idx="0">
                  <c:v>2500</c:v>
                </c:pt>
                <c:pt idx="1">
                  <c:v>2700</c:v>
                </c:pt>
                <c:pt idx="2">
                  <c:v>1800</c:v>
                </c:pt>
                <c:pt idx="3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FE-4A63-A9A5-FDBC78759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7216671"/>
        <c:axId val="137204191"/>
        <c:axId val="0"/>
      </c:bar3DChart>
      <c:catAx>
        <c:axId val="13721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04191"/>
        <c:crosses val="autoZero"/>
        <c:auto val="1"/>
        <c:lblAlgn val="ctr"/>
        <c:lblOffset val="100"/>
        <c:noMultiLvlLbl val="0"/>
      </c:catAx>
      <c:valAx>
        <c:axId val="13720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'Summary Dashboard'!$M$2</c:f>
              <c:strCache>
                <c:ptCount val="1"/>
                <c:pt idx="0">
                  <c:v>Total Visits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Dashboard'!$L$3:$L$6</c:f>
              <c:strCache>
                <c:ptCount val="4"/>
                <c:pt idx="0">
                  <c:v>Cardiology</c:v>
                </c:pt>
                <c:pt idx="1">
                  <c:v>Orthopedics</c:v>
                </c:pt>
                <c:pt idx="2">
                  <c:v>Pediatrics</c:v>
                </c:pt>
                <c:pt idx="3">
                  <c:v>General Practice</c:v>
                </c:pt>
              </c:strCache>
            </c:strRef>
          </c:cat>
          <c:val>
            <c:numRef>
              <c:f>'Summary Dashboard'!$M$3:$M$6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B-4B72-823E-1286480954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37229631"/>
        <c:axId val="137230591"/>
        <c:axId val="0"/>
      </c:bar3DChart>
      <c:catAx>
        <c:axId val="13722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30591"/>
        <c:crosses val="autoZero"/>
        <c:auto val="1"/>
        <c:lblAlgn val="ctr"/>
        <c:lblOffset val="100"/>
        <c:noMultiLvlLbl val="0"/>
      </c:catAx>
      <c:valAx>
        <c:axId val="13723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333373</xdr:colOff>
      <xdr:row>6</xdr:row>
      <xdr:rowOff>70021</xdr:rowOff>
    </xdr:from>
    <xdr:to>
      <xdr:col>6</xdr:col>
      <xdr:colOff>1029730</xdr:colOff>
      <xdr:row>17</xdr:row>
      <xdr:rowOff>174539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C1A4CA-A5B4-E49D-A237-9BFE43368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489122</xdr:colOff>
      <xdr:row>6</xdr:row>
      <xdr:rowOff>82893</xdr:rowOff>
    </xdr:from>
    <xdr:to>
      <xdr:col>13</xdr:col>
      <xdr:colOff>836655</xdr:colOff>
      <xdr:row>17</xdr:row>
      <xdr:rowOff>154461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BA8753-C140-7F1D-5203-6637312A5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C6474AC-529F-4747-97A1-2E2598C28C2D}" autoFormatId="16" applyNumberFormats="0" applyBorderFormats="0" applyFontFormats="0" applyPatternFormats="0" applyAlignmentFormats="0" applyWidthHeightFormats="0">
  <queryTableRefresh nextId="19">
    <queryTableFields count="18">
      <queryTableField id="1" name="Visit ID" tableColumnId="1"/>
      <queryTableField id="2" name="Visit Date" tableColumnId="2"/>
      <queryTableField id="3" name="Patient ID" tableColumnId="3"/>
      <queryTableField id="4" name="Doctor ID" tableColumnId="4"/>
      <queryTableField id="5" name="Department" tableColumnId="5"/>
      <queryTableField id="6" name="Diagnosis" tableColumnId="6"/>
      <queryTableField id="7" name="Visit Type" tableColumnId="7"/>
      <queryTableField id="8" name="Insurance Type" tableColumnId="8"/>
      <queryTableField id="9" name="Copay Amount" tableColumnId="9"/>
      <queryTableField id="10" name="Status" tableColumnId="10"/>
      <queryTableField id="11" name="Doctor Name" tableColumnId="11"/>
      <queryTableField id="12" name="Specialization" tableColumnId="12"/>
      <queryTableField id="13" name="Years Experience" tableColumnId="13"/>
      <queryTableField id="14" name="Consultation Fee" tableColumnId="14"/>
      <queryTableField id="15" name="Treatment Cost" tableColumnId="15"/>
      <queryTableField id="16" name="Insurance Coverage" tableColumnId="16"/>
      <queryTableField id="17" name="Patient Balance" tableColumnId="17"/>
      <queryTableField id="18" name="Payment Status" tableColumnId="18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40F119-9FFA-4256-BF85-DDEF7998ECB4}" name="Table1" displayName="Table1" ref="A1:J38" totalsRowShown="0" headerRowDxfId="38" dataDxfId="39">
  <autoFilter ref="A1:J38" xr:uid="{0340F119-9FFA-4256-BF85-DDEF7998ECB4}"/>
  <tableColumns count="10">
    <tableColumn id="1" xr3:uid="{E1A9CE81-2DCF-447E-87DA-501CA8F7F122}" name="Visit ID" dataDxfId="49"/>
    <tableColumn id="2" xr3:uid="{2D576F33-F4AE-4D51-970A-9CB836BAC004}" name="Visit Date" dataDxfId="48"/>
    <tableColumn id="3" xr3:uid="{FDCFF43D-4A69-4561-9D38-AE2FD231F2C3}" name="Patient ID" dataDxfId="47"/>
    <tableColumn id="4" xr3:uid="{3D6D1B12-9B19-42EA-8992-1E257DB7306E}" name="Doctor ID" dataDxfId="46"/>
    <tableColumn id="5" xr3:uid="{436311BF-33DD-44F0-9F68-4D23D942B847}" name="Department" dataDxfId="45"/>
    <tableColumn id="6" xr3:uid="{70699668-551D-494D-B95F-92C0141B6CFE}" name="Diagnosis" dataDxfId="44"/>
    <tableColumn id="7" xr3:uid="{6F0B2CCD-D859-4AA6-96D9-6FD93B0C3421}" name="Visit Type" dataDxfId="43"/>
    <tableColumn id="8" xr3:uid="{C9F722D3-EA94-4300-9CD6-E1AAF746A179}" name="Insurance Type" dataDxfId="42"/>
    <tableColumn id="9" xr3:uid="{D771C0FB-D3CF-42C9-B52F-0A605E9CFAD8}" name="Copay Amount" dataDxfId="41"/>
    <tableColumn id="10" xr3:uid="{9AFD8D4C-0C25-4807-AF35-445D6FCD2043}" name="Status" dataDxfId="4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3C5E8B-1398-4038-84C6-B069897A1D3D}" name="Table2" displayName="Table2" ref="A1:F5" totalsRowShown="0" headerRowDxfId="30" dataDxfId="31">
  <autoFilter ref="A1:F5" xr:uid="{8F3C5E8B-1398-4038-84C6-B069897A1D3D}"/>
  <tableColumns count="6">
    <tableColumn id="1" xr3:uid="{76246EEE-0AD1-4E73-9717-601B0B8F8881}" name="Doctor ID" dataDxfId="37"/>
    <tableColumn id="2" xr3:uid="{13289E03-4D0C-42E7-9B43-BA115D92BDB1}" name="Doctor Name" dataDxfId="36"/>
    <tableColumn id="3" xr3:uid="{16CDAC69-201A-43CF-A7DA-0C65D536509D}" name="Specialization" dataDxfId="35"/>
    <tableColumn id="4" xr3:uid="{A27B37A5-635E-4F35-B121-C792487D1548}" name="Department" dataDxfId="34"/>
    <tableColumn id="5" xr3:uid="{25465CDC-DD48-4CF6-BB99-D8C7D42352F5}" name="Years Experience" dataDxfId="33"/>
    <tableColumn id="6" xr3:uid="{810A0E0D-B58D-4BAA-B302-D5CECD6937C4}" name="Consultation Fee" dataDxfId="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D7624B-2D7A-4684-A07C-DB1740A3B610}" name="Table3" displayName="Table3" ref="A1:G37" totalsRowShown="0" headerRowDxfId="21" dataDxfId="22">
  <autoFilter ref="A1:G37" xr:uid="{2DD7624B-2D7A-4684-A07C-DB1740A3B610}"/>
  <tableColumns count="7">
    <tableColumn id="1" xr3:uid="{A219990C-49EF-4C4C-A6B7-D9EC972454F1}" name="Visit ID" dataDxfId="29"/>
    <tableColumn id="2" xr3:uid="{434D6C0A-8742-41EE-8171-D58F3F012D16}" name="Patient ID" dataDxfId="28"/>
    <tableColumn id="3" xr3:uid="{9B4874F1-25EB-42B6-B61B-FAF9B01E3CE6}" name="Consultation Fee" dataDxfId="27"/>
    <tableColumn id="4" xr3:uid="{81CCCE54-FC24-4BE0-82AB-5C1EB4B9A8EE}" name="Treatment Cost" dataDxfId="26"/>
    <tableColumn id="5" xr3:uid="{F37E1B00-F2E4-4178-B3EC-53C5D6FE1417}" name="Insurance Coverage" dataDxfId="25"/>
    <tableColumn id="6" xr3:uid="{23777D76-EEED-474B-806B-6A62949ED0B8}" name="Patient Balance" dataDxfId="24"/>
    <tableColumn id="7" xr3:uid="{F5421A06-B1F1-41E8-B71D-602BB4172AC2}" name="Payment Status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00A062-48DF-4E9B-AD26-30F939696560}" name="Master_Clinical_Table" displayName="Master_Clinical_Table" ref="A1:R38" tableType="queryTable" totalsRowShown="0">
  <autoFilter ref="A1:R38" xr:uid="{C200A062-48DF-4E9B-AD26-30F939696560}"/>
  <tableColumns count="18">
    <tableColumn id="1" xr3:uid="{50CFC15D-6831-4136-BABD-A190508FF0FA}" uniqueName="1" name="Visit ID" queryTableFieldId="1" dataDxfId="20"/>
    <tableColumn id="2" xr3:uid="{F17D898B-5DA6-4706-B6EA-E2076E25B6D6}" uniqueName="2" name="Visit Date" queryTableFieldId="2" dataDxfId="19"/>
    <tableColumn id="3" xr3:uid="{C653B40B-1627-4AAD-9633-5BA7BE92A7C3}" uniqueName="3" name="Patient ID" queryTableFieldId="3" dataDxfId="18"/>
    <tableColumn id="4" xr3:uid="{8442AEBF-F308-42BF-AB4F-728D6139A896}" uniqueName="4" name="Doctor ID" queryTableFieldId="4" dataDxfId="17"/>
    <tableColumn id="5" xr3:uid="{4DF20C91-1763-4E99-9E89-0E0DEC74AF7A}" uniqueName="5" name="Department" queryTableFieldId="5" dataDxfId="16"/>
    <tableColumn id="6" xr3:uid="{DDEDA31B-E7AE-4965-B8BD-45A56E5F5E63}" uniqueName="6" name="Diagnosis" queryTableFieldId="6" dataDxfId="15"/>
    <tableColumn id="7" xr3:uid="{D33049C0-3316-4806-A624-F4D281E7CF9E}" uniqueName="7" name="Visit Type" queryTableFieldId="7" dataDxfId="14"/>
    <tableColumn id="8" xr3:uid="{42EE65BD-32FE-432F-8004-FDAFCB2C4AD4}" uniqueName="8" name="Insurance Type" queryTableFieldId="8" dataDxfId="13"/>
    <tableColumn id="9" xr3:uid="{B17F4CB7-1B25-4A10-AD1D-0691BCE03001}" uniqueName="9" name="Copay Amount" queryTableFieldId="9" dataDxfId="12"/>
    <tableColumn id="10" xr3:uid="{D44ED702-509C-4EAD-AE3C-12E031AE1DA9}" uniqueName="10" name="Status" queryTableFieldId="10" dataDxfId="11"/>
    <tableColumn id="11" xr3:uid="{A09EB709-6C0B-417A-A736-BF14991FEA1C}" uniqueName="11" name="Doctor Name" queryTableFieldId="11" dataDxfId="10"/>
    <tableColumn id="12" xr3:uid="{4D0AAA71-0C37-4209-B2E0-15FF82AF18A8}" uniqueName="12" name="Specialization" queryTableFieldId="12" dataDxfId="9"/>
    <tableColumn id="13" xr3:uid="{5A98FE4A-80C6-4307-B5A9-DD825409FFAE}" uniqueName="13" name="Years Experience" queryTableFieldId="13"/>
    <tableColumn id="14" xr3:uid="{554A1E0B-B563-4217-A15A-1DC4C11664EB}" uniqueName="14" name="Consultation Fee" queryTableFieldId="14"/>
    <tableColumn id="15" xr3:uid="{C8D5AD38-8C7B-4CD5-8535-AB2E8D83BECF}" uniqueName="15" name="Treatment Cost" queryTableFieldId="15"/>
    <tableColumn id="16" xr3:uid="{AA77C5A5-BE16-4557-A6E1-6F52A3DFF49F}" uniqueName="16" name="Insurance Coverage" queryTableFieldId="16"/>
    <tableColumn id="17" xr3:uid="{8084AFF4-2549-4DD2-A3DD-5379B40BA23A}" uniqueName="17" name="Patient Balance" queryTableFieldId="17"/>
    <tableColumn id="18" xr3:uid="{93660CD7-1873-4EA0-95C2-1A54461FBCD7}" uniqueName="18" name="Payment Status" queryTableFieldId="18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E66F2CA-A0ED-469E-A526-0722E257438B}" name="Table7" displayName="Table7" ref="A1:H150" totalsRowShown="0">
  <autoFilter ref="A1:H150" xr:uid="{0E66F2CA-A0ED-469E-A526-0722E257438B}"/>
  <tableColumns count="8">
    <tableColumn id="1" xr3:uid="{F585955A-C28E-4569-9757-F60519D4C6F7}" name=" Visit ID"/>
    <tableColumn id="2" xr3:uid="{3E939A3F-EC78-4F37-9193-1DBBFE7D46F1}" name=" Visit Date"/>
    <tableColumn id="3" xr3:uid="{A412C69C-1C09-4C45-BBF3-D84F27D8903C}" name="Patient ID"/>
    <tableColumn id="4" xr3:uid="{6C4708ED-078B-4F22-A995-44E3550695FD}" name="Department"/>
    <tableColumn id="5" xr3:uid="{82E45E7A-569F-4C5D-BBF8-6847275C8E63}" name=" Diagnosis"/>
    <tableColumn id="6" xr3:uid="{CECE04D1-4480-4B99-84C7-30D60D069E7F}" name=" Visit Type"/>
    <tableColumn id="7" xr3:uid="{F033E501-CA1E-4978-8786-95860AC850F2}" name=" Insurance Type"/>
    <tableColumn id="8" xr3:uid="{FA34F899-1F05-49D1-8981-13901CB644AD}" name="Copay Amount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64C9AB-21EB-4D85-B0B2-40B58FD4AEC5}" name="Table8" displayName="Table8" ref="A1:B8" totalsRowShown="0" headerRowDxfId="5">
  <autoFilter ref="A1:B8" xr:uid="{F464C9AB-21EB-4D85-B0B2-40B58FD4AEC5}"/>
  <tableColumns count="2">
    <tableColumn id="1" xr3:uid="{F77F2B68-291E-428D-BCF9-CF70497CB078}" name="Department" dataDxfId="7"/>
    <tableColumn id="2" xr3:uid="{DC1F8512-597B-4209-9DFA-B6718498C01A}" name="Total View" dataDxfId="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BF36528-AB49-455E-B383-52BEB4265734}" name="Table9" displayName="Table9" ref="E2:F6" totalsRowShown="0">
  <autoFilter ref="E2:F6" xr:uid="{ABF36528-AB49-455E-B383-52BEB4265734}"/>
  <tableColumns count="2">
    <tableColumn id="1" xr3:uid="{B30DD13B-EC25-4C54-8BD5-87E04BF0BFF3}" name="Department" dataDxfId="4"/>
    <tableColumn id="2" xr3:uid="{361B4493-2457-444E-A04A-4280CD884F61}" name="Total Revenue" dataDxf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4E02CE8-5474-45BE-A7C0-DE94B235E5E9}" name="Table10" displayName="Table10" ref="L2:M6" totalsRowShown="0" headerRowDxfId="0">
  <autoFilter ref="L2:M6" xr:uid="{C4E02CE8-5474-45BE-A7C0-DE94B235E5E9}"/>
  <tableColumns count="2">
    <tableColumn id="1" xr3:uid="{41E70A37-5712-417F-81F9-B1D4267328B1}" name="Department" dataDxfId="2"/>
    <tableColumn id="2" xr3:uid="{548FE883-F99C-48CA-8F6C-FCE04B1ED0DE}" name="Total Visi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53358-1254-43EB-8FA1-1FBA7A3F07F2}">
  <dimension ref="A1:J38"/>
  <sheetViews>
    <sheetView tabSelected="1" workbookViewId="0">
      <selection activeCell="N6" sqref="N6"/>
    </sheetView>
  </sheetViews>
  <sheetFormatPr defaultRowHeight="15" x14ac:dyDescent="0.25"/>
  <cols>
    <col min="1" max="1" width="9.42578125" customWidth="1"/>
    <col min="2" max="2" width="11.7109375" customWidth="1"/>
    <col min="3" max="3" width="11.85546875" customWidth="1"/>
    <col min="4" max="4" width="11.28515625" customWidth="1"/>
    <col min="5" max="5" width="13.85546875" customWidth="1"/>
    <col min="6" max="6" width="11.5703125" customWidth="1"/>
    <col min="7" max="7" width="11.85546875" customWidth="1"/>
    <col min="8" max="8" width="16.42578125" customWidth="1"/>
    <col min="9" max="9" width="16.140625" customWidth="1"/>
  </cols>
  <sheetData>
    <row r="1" spans="1:10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50</v>
      </c>
      <c r="J2" s="2" t="s">
        <v>18</v>
      </c>
    </row>
    <row r="3" spans="1:10" ht="30" x14ac:dyDescent="0.25">
      <c r="A3" s="2" t="s">
        <v>19</v>
      </c>
      <c r="B3" s="4">
        <v>45307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/>
      <c r="J3" s="2" t="s">
        <v>18</v>
      </c>
    </row>
    <row r="4" spans="1:10" ht="30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>
        <v>20</v>
      </c>
      <c r="J4" s="2" t="s">
        <v>34</v>
      </c>
    </row>
    <row r="5" spans="1:10" ht="30" x14ac:dyDescent="0.25">
      <c r="A5" s="2" t="s">
        <v>35</v>
      </c>
      <c r="B5" s="2" t="s">
        <v>36</v>
      </c>
      <c r="C5" s="2" t="s">
        <v>37</v>
      </c>
      <c r="D5" s="2" t="s">
        <v>13</v>
      </c>
      <c r="E5" s="2" t="s">
        <v>38</v>
      </c>
      <c r="F5" s="2" t="s">
        <v>39</v>
      </c>
      <c r="G5" s="2" t="s">
        <v>24</v>
      </c>
      <c r="H5" s="2" t="s">
        <v>17</v>
      </c>
      <c r="I5" s="2">
        <v>75</v>
      </c>
      <c r="J5" s="2" t="s">
        <v>18</v>
      </c>
    </row>
    <row r="6" spans="1:10" ht="30" x14ac:dyDescent="0.25">
      <c r="A6" s="2" t="s">
        <v>40</v>
      </c>
      <c r="B6" s="4">
        <v>45310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32</v>
      </c>
      <c r="H6" s="2" t="s">
        <v>17</v>
      </c>
      <c r="I6" s="2">
        <v>30</v>
      </c>
      <c r="J6" s="2"/>
    </row>
    <row r="7" spans="1:10" ht="30" x14ac:dyDescent="0.25">
      <c r="A7" s="2" t="s">
        <v>45</v>
      </c>
      <c r="B7" s="2" t="s">
        <v>46</v>
      </c>
      <c r="C7" s="2" t="s">
        <v>47</v>
      </c>
      <c r="D7" s="2" t="s">
        <v>21</v>
      </c>
      <c r="E7" s="2" t="s">
        <v>48</v>
      </c>
      <c r="F7" s="2" t="s">
        <v>49</v>
      </c>
      <c r="G7" s="2" t="s">
        <v>16</v>
      </c>
      <c r="H7" s="2" t="s">
        <v>25</v>
      </c>
      <c r="I7" s="2">
        <v>40</v>
      </c>
      <c r="J7" s="2" t="s">
        <v>18</v>
      </c>
    </row>
    <row r="8" spans="1:10" ht="30" x14ac:dyDescent="0.25">
      <c r="A8" s="2" t="s">
        <v>50</v>
      </c>
      <c r="B8" s="2" t="s">
        <v>51</v>
      </c>
      <c r="C8" s="2" t="s">
        <v>52</v>
      </c>
      <c r="D8" s="2" t="s">
        <v>29</v>
      </c>
      <c r="E8" s="2" t="s">
        <v>53</v>
      </c>
      <c r="F8" s="2" t="s">
        <v>54</v>
      </c>
      <c r="G8" s="2" t="s">
        <v>24</v>
      </c>
      <c r="H8" s="2" t="s">
        <v>33</v>
      </c>
      <c r="I8" s="2"/>
      <c r="J8" s="2" t="s">
        <v>18</v>
      </c>
    </row>
    <row r="9" spans="1:10" ht="30" x14ac:dyDescent="0.25">
      <c r="A9" s="2" t="s">
        <v>55</v>
      </c>
      <c r="B9" s="4">
        <v>45313</v>
      </c>
      <c r="C9" s="2" t="s">
        <v>56</v>
      </c>
      <c r="D9" s="2" t="s">
        <v>42</v>
      </c>
      <c r="E9" s="2" t="s">
        <v>57</v>
      </c>
      <c r="F9" s="2" t="s">
        <v>58</v>
      </c>
      <c r="G9" s="2" t="s">
        <v>32</v>
      </c>
      <c r="H9" s="2" t="s">
        <v>17</v>
      </c>
      <c r="I9" s="2">
        <v>30</v>
      </c>
      <c r="J9" s="2" t="s">
        <v>18</v>
      </c>
    </row>
    <row r="10" spans="1:10" ht="30" x14ac:dyDescent="0.25">
      <c r="A10" s="2" t="s">
        <v>59</v>
      </c>
      <c r="B10" s="2" t="s">
        <v>60</v>
      </c>
      <c r="C10" s="2" t="s">
        <v>61</v>
      </c>
      <c r="D10" s="2" t="s">
        <v>13</v>
      </c>
      <c r="E10" s="2" t="s">
        <v>14</v>
      </c>
      <c r="F10" s="2" t="s">
        <v>62</v>
      </c>
      <c r="G10" s="2" t="s">
        <v>16</v>
      </c>
      <c r="H10" s="2" t="s">
        <v>25</v>
      </c>
      <c r="I10" s="2">
        <v>60</v>
      </c>
      <c r="J10" s="2" t="s">
        <v>63</v>
      </c>
    </row>
    <row r="11" spans="1:10" ht="30" x14ac:dyDescent="0.25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16</v>
      </c>
      <c r="H11" s="2" t="s">
        <v>17</v>
      </c>
      <c r="I11" s="2">
        <v>50</v>
      </c>
      <c r="J11" s="2" t="s">
        <v>18</v>
      </c>
    </row>
    <row r="12" spans="1:10" ht="30" x14ac:dyDescent="0.25">
      <c r="A12" s="2" t="s">
        <v>64</v>
      </c>
      <c r="B12" s="2" t="s">
        <v>65</v>
      </c>
      <c r="C12" s="2" t="s">
        <v>66</v>
      </c>
      <c r="D12" s="2" t="s">
        <v>21</v>
      </c>
      <c r="E12" s="2" t="s">
        <v>22</v>
      </c>
      <c r="F12" s="2" t="s">
        <v>67</v>
      </c>
      <c r="G12" s="2" t="s">
        <v>32</v>
      </c>
      <c r="H12" s="2" t="s">
        <v>17</v>
      </c>
      <c r="I12" s="2">
        <v>45</v>
      </c>
      <c r="J12" s="2" t="s">
        <v>18</v>
      </c>
    </row>
    <row r="13" spans="1:10" ht="30" x14ac:dyDescent="0.25">
      <c r="A13" s="2" t="s">
        <v>68</v>
      </c>
      <c r="B13" s="4">
        <v>45316</v>
      </c>
      <c r="C13" s="2" t="s">
        <v>69</v>
      </c>
      <c r="D13" s="2" t="s">
        <v>29</v>
      </c>
      <c r="E13" s="2" t="s">
        <v>70</v>
      </c>
      <c r="F13" s="2" t="s">
        <v>71</v>
      </c>
      <c r="G13" s="2" t="s">
        <v>24</v>
      </c>
      <c r="H13" s="2" t="s">
        <v>33</v>
      </c>
      <c r="I13" s="2"/>
      <c r="J13" s="2" t="s">
        <v>34</v>
      </c>
    </row>
    <row r="14" spans="1:10" ht="45" x14ac:dyDescent="0.25">
      <c r="A14" s="2" t="s">
        <v>72</v>
      </c>
      <c r="B14" s="2" t="s">
        <v>73</v>
      </c>
      <c r="C14" s="2" t="s">
        <v>74</v>
      </c>
      <c r="D14" s="2" t="s">
        <v>42</v>
      </c>
      <c r="E14" s="2" t="s">
        <v>75</v>
      </c>
      <c r="F14" s="2" t="s">
        <v>76</v>
      </c>
      <c r="G14" s="2" t="s">
        <v>16</v>
      </c>
      <c r="H14" s="2" t="s">
        <v>17</v>
      </c>
      <c r="I14" s="2">
        <v>30</v>
      </c>
      <c r="J14" s="2" t="s">
        <v>18</v>
      </c>
    </row>
    <row r="15" spans="1:10" ht="30" x14ac:dyDescent="0.25">
      <c r="A15" s="2" t="s">
        <v>77</v>
      </c>
      <c r="B15" s="2" t="s">
        <v>78</v>
      </c>
      <c r="C15" s="2" t="s">
        <v>79</v>
      </c>
      <c r="D15" s="2" t="s">
        <v>13</v>
      </c>
      <c r="E15" s="2" t="s">
        <v>80</v>
      </c>
      <c r="F15" s="2" t="s">
        <v>81</v>
      </c>
      <c r="G15" s="2" t="s">
        <v>24</v>
      </c>
      <c r="H15" s="2" t="s">
        <v>25</v>
      </c>
      <c r="I15" s="2">
        <v>65</v>
      </c>
      <c r="J15" s="2" t="s">
        <v>18</v>
      </c>
    </row>
    <row r="16" spans="1:10" ht="30" x14ac:dyDescent="0.25">
      <c r="A16" s="2" t="s">
        <v>82</v>
      </c>
      <c r="B16" s="4">
        <v>45319</v>
      </c>
      <c r="C16" s="2" t="s">
        <v>83</v>
      </c>
      <c r="D16" s="2" t="s">
        <v>21</v>
      </c>
      <c r="E16" s="2" t="s">
        <v>48</v>
      </c>
      <c r="F16" s="2" t="s">
        <v>84</v>
      </c>
      <c r="G16" s="2" t="s">
        <v>32</v>
      </c>
      <c r="H16" s="2" t="s">
        <v>17</v>
      </c>
      <c r="I16" s="2">
        <v>40</v>
      </c>
      <c r="J16" s="2"/>
    </row>
    <row r="17" spans="1:10" ht="30" x14ac:dyDescent="0.25">
      <c r="A17" s="2" t="s">
        <v>85</v>
      </c>
      <c r="B17" s="2" t="s">
        <v>86</v>
      </c>
      <c r="C17" s="2" t="s">
        <v>87</v>
      </c>
      <c r="D17" s="2" t="s">
        <v>29</v>
      </c>
      <c r="E17" s="2" t="s">
        <v>53</v>
      </c>
      <c r="F17" s="2" t="s">
        <v>88</v>
      </c>
      <c r="G17" s="2" t="s">
        <v>16</v>
      </c>
      <c r="H17" s="2" t="s">
        <v>33</v>
      </c>
      <c r="I17" s="2">
        <v>20</v>
      </c>
      <c r="J17" s="2" t="s">
        <v>18</v>
      </c>
    </row>
    <row r="18" spans="1:10" ht="30" x14ac:dyDescent="0.25">
      <c r="A18" s="2" t="s">
        <v>89</v>
      </c>
      <c r="B18" s="2" t="s">
        <v>90</v>
      </c>
      <c r="C18" s="2" t="s">
        <v>91</v>
      </c>
      <c r="D18" s="2" t="s">
        <v>42</v>
      </c>
      <c r="E18" s="2" t="s">
        <v>43</v>
      </c>
      <c r="F18" s="2" t="s">
        <v>92</v>
      </c>
      <c r="G18" s="2" t="s">
        <v>24</v>
      </c>
      <c r="H18" s="2" t="s">
        <v>17</v>
      </c>
      <c r="I18" s="2">
        <v>35</v>
      </c>
      <c r="J18" s="2" t="s">
        <v>63</v>
      </c>
    </row>
    <row r="19" spans="1:10" ht="45" x14ac:dyDescent="0.25">
      <c r="A19" s="2" t="s">
        <v>93</v>
      </c>
      <c r="B19" s="4">
        <v>45322</v>
      </c>
      <c r="C19" s="2" t="s">
        <v>94</v>
      </c>
      <c r="D19" s="2" t="s">
        <v>13</v>
      </c>
      <c r="E19" s="2" t="s">
        <v>38</v>
      </c>
      <c r="F19" s="2" t="s">
        <v>95</v>
      </c>
      <c r="G19" s="2" t="s">
        <v>32</v>
      </c>
      <c r="H19" s="2" t="s">
        <v>25</v>
      </c>
      <c r="I19" s="2"/>
      <c r="J19" s="2" t="s">
        <v>18</v>
      </c>
    </row>
    <row r="20" spans="1:10" ht="30" x14ac:dyDescent="0.25">
      <c r="A20" s="2" t="s">
        <v>96</v>
      </c>
      <c r="B20" s="2" t="s">
        <v>97</v>
      </c>
      <c r="C20" s="2" t="s">
        <v>98</v>
      </c>
      <c r="D20" s="2" t="s">
        <v>21</v>
      </c>
      <c r="E20" s="2" t="s">
        <v>99</v>
      </c>
      <c r="F20" s="2" t="s">
        <v>100</v>
      </c>
      <c r="G20" s="2" t="s">
        <v>16</v>
      </c>
      <c r="H20" s="2" t="s">
        <v>17</v>
      </c>
      <c r="I20" s="2">
        <v>40</v>
      </c>
      <c r="J20" s="2" t="s">
        <v>18</v>
      </c>
    </row>
    <row r="21" spans="1:10" ht="30" x14ac:dyDescent="0.25">
      <c r="A21" s="2" t="s">
        <v>101</v>
      </c>
      <c r="B21" s="4">
        <v>45324</v>
      </c>
      <c r="C21" s="2" t="s">
        <v>102</v>
      </c>
      <c r="D21" s="2" t="s">
        <v>29</v>
      </c>
      <c r="E21" s="2" t="s">
        <v>70</v>
      </c>
      <c r="F21" s="2" t="s">
        <v>103</v>
      </c>
      <c r="G21" s="2" t="s">
        <v>24</v>
      </c>
      <c r="H21" s="2" t="s">
        <v>33</v>
      </c>
      <c r="I21" s="2"/>
      <c r="J21" s="2" t="s">
        <v>34</v>
      </c>
    </row>
    <row r="22" spans="1:10" ht="45" x14ac:dyDescent="0.25">
      <c r="A22" s="2" t="s">
        <v>104</v>
      </c>
      <c r="B22" s="4">
        <v>45325</v>
      </c>
      <c r="C22" s="2" t="s">
        <v>105</v>
      </c>
      <c r="D22" s="2" t="s">
        <v>42</v>
      </c>
      <c r="E22" s="2" t="s">
        <v>75</v>
      </c>
      <c r="F22" s="2" t="s">
        <v>106</v>
      </c>
      <c r="G22" s="2" t="s">
        <v>32</v>
      </c>
      <c r="H22" s="2" t="s">
        <v>17</v>
      </c>
      <c r="I22" s="2">
        <v>30</v>
      </c>
      <c r="J22" s="2" t="s">
        <v>18</v>
      </c>
    </row>
    <row r="23" spans="1:10" ht="30" x14ac:dyDescent="0.25">
      <c r="A23" s="2" t="s">
        <v>107</v>
      </c>
      <c r="B23" s="2" t="s">
        <v>108</v>
      </c>
      <c r="C23" s="2" t="s">
        <v>109</v>
      </c>
      <c r="D23" s="2" t="s">
        <v>13</v>
      </c>
      <c r="E23" s="2" t="s">
        <v>14</v>
      </c>
      <c r="F23" s="2" t="s">
        <v>39</v>
      </c>
      <c r="G23" s="2" t="s">
        <v>16</v>
      </c>
      <c r="H23" s="2" t="s">
        <v>25</v>
      </c>
      <c r="I23" s="2">
        <v>60</v>
      </c>
      <c r="J23" s="2" t="s">
        <v>18</v>
      </c>
    </row>
    <row r="24" spans="1:10" ht="30" x14ac:dyDescent="0.25">
      <c r="A24" s="2" t="s">
        <v>110</v>
      </c>
      <c r="B24" s="4">
        <v>45414</v>
      </c>
      <c r="C24" s="2" t="s">
        <v>111</v>
      </c>
      <c r="D24" s="2" t="s">
        <v>21</v>
      </c>
      <c r="E24" s="2" t="s">
        <v>22</v>
      </c>
      <c r="F24" s="2" t="s">
        <v>112</v>
      </c>
      <c r="G24" s="2" t="s">
        <v>24</v>
      </c>
      <c r="H24" s="2" t="s">
        <v>17</v>
      </c>
      <c r="I24" s="2">
        <v>50</v>
      </c>
      <c r="J24" s="2"/>
    </row>
    <row r="25" spans="1:10" ht="30" x14ac:dyDescent="0.25">
      <c r="A25" s="2" t="s">
        <v>113</v>
      </c>
      <c r="B25" s="4">
        <v>45328</v>
      </c>
      <c r="C25" s="2" t="s">
        <v>114</v>
      </c>
      <c r="D25" s="2" t="s">
        <v>29</v>
      </c>
      <c r="E25" s="2" t="s">
        <v>30</v>
      </c>
      <c r="F25" s="2" t="s">
        <v>115</v>
      </c>
      <c r="G25" s="2" t="s">
        <v>32</v>
      </c>
      <c r="H25" s="2" t="s">
        <v>33</v>
      </c>
      <c r="I25" s="2">
        <v>20</v>
      </c>
      <c r="J25" s="2" t="s">
        <v>18</v>
      </c>
    </row>
    <row r="26" spans="1:10" ht="30" x14ac:dyDescent="0.25">
      <c r="A26" s="2" t="s">
        <v>116</v>
      </c>
      <c r="B26" s="2" t="s">
        <v>117</v>
      </c>
      <c r="C26" s="2" t="s">
        <v>118</v>
      </c>
      <c r="D26" s="2" t="s">
        <v>42</v>
      </c>
      <c r="E26" s="2" t="s">
        <v>43</v>
      </c>
      <c r="F26" s="2" t="s">
        <v>119</v>
      </c>
      <c r="G26" s="2" t="s">
        <v>16</v>
      </c>
      <c r="H26" s="2" t="s">
        <v>17</v>
      </c>
      <c r="I26" s="2">
        <v>35</v>
      </c>
      <c r="J26" s="2" t="s">
        <v>63</v>
      </c>
    </row>
    <row r="27" spans="1:10" ht="30" x14ac:dyDescent="0.25">
      <c r="A27" s="2" t="s">
        <v>120</v>
      </c>
      <c r="B27" s="4">
        <v>45506</v>
      </c>
      <c r="C27" s="2" t="s">
        <v>121</v>
      </c>
      <c r="D27" s="2" t="s">
        <v>13</v>
      </c>
      <c r="E27" s="2" t="s">
        <v>38</v>
      </c>
      <c r="F27" s="2" t="s">
        <v>122</v>
      </c>
      <c r="G27" s="2" t="s">
        <v>24</v>
      </c>
      <c r="H27" s="2" t="s">
        <v>25</v>
      </c>
      <c r="I27" s="2"/>
      <c r="J27" s="2" t="s">
        <v>18</v>
      </c>
    </row>
    <row r="28" spans="1:10" ht="30" x14ac:dyDescent="0.25">
      <c r="A28" s="2" t="s">
        <v>123</v>
      </c>
      <c r="B28" s="4">
        <v>45331</v>
      </c>
      <c r="C28" s="2" t="s">
        <v>124</v>
      </c>
      <c r="D28" s="2" t="s">
        <v>21</v>
      </c>
      <c r="E28" s="2" t="s">
        <v>48</v>
      </c>
      <c r="F28" s="2" t="s">
        <v>125</v>
      </c>
      <c r="G28" s="2" t="s">
        <v>32</v>
      </c>
      <c r="H28" s="2" t="s">
        <v>17</v>
      </c>
      <c r="I28" s="2">
        <v>45</v>
      </c>
      <c r="J28" s="2" t="s">
        <v>18</v>
      </c>
    </row>
    <row r="29" spans="1:10" ht="30" x14ac:dyDescent="0.25">
      <c r="A29" s="2" t="s">
        <v>126</v>
      </c>
      <c r="B29" s="2" t="s">
        <v>127</v>
      </c>
      <c r="C29" s="2" t="s">
        <v>128</v>
      </c>
      <c r="D29" s="2" t="s">
        <v>29</v>
      </c>
      <c r="E29" s="2" t="s">
        <v>53</v>
      </c>
      <c r="F29" s="2" t="s">
        <v>129</v>
      </c>
      <c r="G29" s="2" t="s">
        <v>16</v>
      </c>
      <c r="H29" s="2" t="s">
        <v>33</v>
      </c>
      <c r="I29" s="2">
        <v>20</v>
      </c>
      <c r="J29" s="2" t="s">
        <v>34</v>
      </c>
    </row>
    <row r="30" spans="1:10" ht="30" x14ac:dyDescent="0.25">
      <c r="A30" s="2" t="s">
        <v>130</v>
      </c>
      <c r="B30" s="4">
        <v>45598</v>
      </c>
      <c r="C30" s="2" t="s">
        <v>131</v>
      </c>
      <c r="D30" s="2" t="s">
        <v>42</v>
      </c>
      <c r="E30" s="2" t="s">
        <v>57</v>
      </c>
      <c r="F30" s="2" t="s">
        <v>132</v>
      </c>
      <c r="G30" s="2" t="s">
        <v>24</v>
      </c>
      <c r="H30" s="2" t="s">
        <v>17</v>
      </c>
      <c r="I30" s="2">
        <v>30</v>
      </c>
      <c r="J30" s="2" t="s">
        <v>18</v>
      </c>
    </row>
    <row r="31" spans="1:10" ht="30" x14ac:dyDescent="0.25">
      <c r="A31" s="2" t="s">
        <v>133</v>
      </c>
      <c r="B31" s="4">
        <v>45334</v>
      </c>
      <c r="C31" s="2" t="s">
        <v>134</v>
      </c>
      <c r="D31" s="2" t="s">
        <v>13</v>
      </c>
      <c r="E31" s="2" t="s">
        <v>14</v>
      </c>
      <c r="F31" s="2" t="s">
        <v>135</v>
      </c>
      <c r="G31" s="2" t="s">
        <v>24</v>
      </c>
      <c r="H31" s="2" t="s">
        <v>25</v>
      </c>
      <c r="I31" s="2">
        <v>75</v>
      </c>
      <c r="J31" s="2" t="s">
        <v>18</v>
      </c>
    </row>
    <row r="32" spans="1:10" ht="30" x14ac:dyDescent="0.25">
      <c r="A32" s="2" t="s">
        <v>136</v>
      </c>
      <c r="B32" s="2" t="s">
        <v>137</v>
      </c>
      <c r="C32" s="2" t="s">
        <v>138</v>
      </c>
      <c r="D32" s="2" t="s">
        <v>21</v>
      </c>
      <c r="E32" s="2" t="s">
        <v>22</v>
      </c>
      <c r="F32" s="2" t="s">
        <v>139</v>
      </c>
      <c r="G32" s="2" t="s">
        <v>32</v>
      </c>
      <c r="H32" s="2" t="s">
        <v>17</v>
      </c>
      <c r="I32" s="2">
        <v>45</v>
      </c>
      <c r="J32" s="2"/>
    </row>
    <row r="33" spans="1:10" ht="30" x14ac:dyDescent="0.25">
      <c r="A33" s="2" t="s">
        <v>140</v>
      </c>
      <c r="B33" s="2" t="s">
        <v>141</v>
      </c>
      <c r="C33" s="2" t="s">
        <v>142</v>
      </c>
      <c r="D33" s="2" t="s">
        <v>29</v>
      </c>
      <c r="E33" s="2" t="s">
        <v>70</v>
      </c>
      <c r="F33" s="2" t="s">
        <v>143</v>
      </c>
      <c r="G33" s="2" t="s">
        <v>16</v>
      </c>
      <c r="H33" s="2" t="s">
        <v>33</v>
      </c>
      <c r="I33" s="2"/>
      <c r="J33" s="2" t="s">
        <v>34</v>
      </c>
    </row>
    <row r="34" spans="1:10" ht="45" x14ac:dyDescent="0.25">
      <c r="A34" s="2" t="s">
        <v>144</v>
      </c>
      <c r="B34" s="4">
        <v>45337</v>
      </c>
      <c r="C34" s="2" t="s">
        <v>145</v>
      </c>
      <c r="D34" s="2" t="s">
        <v>42</v>
      </c>
      <c r="E34" s="2" t="s">
        <v>75</v>
      </c>
      <c r="F34" s="2" t="s">
        <v>15</v>
      </c>
      <c r="G34" s="2" t="s">
        <v>24</v>
      </c>
      <c r="H34" s="2" t="s">
        <v>17</v>
      </c>
      <c r="I34" s="2">
        <v>35</v>
      </c>
      <c r="J34" s="2" t="s">
        <v>18</v>
      </c>
    </row>
    <row r="35" spans="1:10" ht="30" x14ac:dyDescent="0.25">
      <c r="A35" s="2" t="s">
        <v>146</v>
      </c>
      <c r="B35" s="2" t="s">
        <v>147</v>
      </c>
      <c r="C35" s="2" t="s">
        <v>148</v>
      </c>
      <c r="D35" s="2" t="s">
        <v>13</v>
      </c>
      <c r="E35" s="2" t="s">
        <v>80</v>
      </c>
      <c r="F35" s="2" t="s">
        <v>149</v>
      </c>
      <c r="G35" s="2" t="s">
        <v>32</v>
      </c>
      <c r="H35" s="2" t="s">
        <v>25</v>
      </c>
      <c r="I35" s="2">
        <v>55</v>
      </c>
      <c r="J35" s="2" t="s">
        <v>18</v>
      </c>
    </row>
    <row r="36" spans="1:10" ht="30" x14ac:dyDescent="0.25">
      <c r="A36" s="2" t="s">
        <v>150</v>
      </c>
      <c r="B36" s="2" t="s">
        <v>151</v>
      </c>
      <c r="C36" s="2" t="s">
        <v>152</v>
      </c>
      <c r="D36" s="2" t="s">
        <v>21</v>
      </c>
      <c r="E36" s="2" t="s">
        <v>48</v>
      </c>
      <c r="F36" s="2" t="s">
        <v>153</v>
      </c>
      <c r="G36" s="2" t="s">
        <v>16</v>
      </c>
      <c r="H36" s="2" t="s">
        <v>17</v>
      </c>
      <c r="I36" s="2">
        <v>40</v>
      </c>
      <c r="J36" s="2" t="s">
        <v>18</v>
      </c>
    </row>
    <row r="37" spans="1:10" ht="30" x14ac:dyDescent="0.25">
      <c r="A37" s="2" t="s">
        <v>154</v>
      </c>
      <c r="B37" s="4">
        <v>45340</v>
      </c>
      <c r="C37" s="2" t="s">
        <v>155</v>
      </c>
      <c r="D37" s="2" t="s">
        <v>29</v>
      </c>
      <c r="E37" s="2" t="s">
        <v>53</v>
      </c>
      <c r="F37" s="2" t="s">
        <v>156</v>
      </c>
      <c r="G37" s="2" t="s">
        <v>24</v>
      </c>
      <c r="H37" s="2" t="s">
        <v>33</v>
      </c>
      <c r="I37" s="2">
        <v>20</v>
      </c>
      <c r="J37" s="2" t="s">
        <v>63</v>
      </c>
    </row>
    <row r="38" spans="1:10" ht="30" x14ac:dyDescent="0.25">
      <c r="A38" s="2" t="s">
        <v>157</v>
      </c>
      <c r="B38" s="2" t="s">
        <v>158</v>
      </c>
      <c r="C38" s="2" t="s">
        <v>159</v>
      </c>
      <c r="D38" s="2" t="s">
        <v>42</v>
      </c>
      <c r="E38" s="2" t="s">
        <v>43</v>
      </c>
      <c r="F38" s="2" t="s">
        <v>49</v>
      </c>
      <c r="G38" s="2" t="s">
        <v>32</v>
      </c>
      <c r="H38" s="2" t="s">
        <v>17</v>
      </c>
      <c r="I38" s="2">
        <v>30</v>
      </c>
      <c r="J38" s="2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1E01-ED72-40BF-9269-4B601F781438}">
  <dimension ref="A1:F5"/>
  <sheetViews>
    <sheetView workbookViewId="0">
      <selection sqref="A1:F5"/>
    </sheetView>
  </sheetViews>
  <sheetFormatPr defaultRowHeight="15" x14ac:dyDescent="0.25"/>
  <cols>
    <col min="1" max="1" width="11.28515625" customWidth="1"/>
    <col min="2" max="2" width="14.7109375" customWidth="1"/>
    <col min="3" max="3" width="15.42578125" customWidth="1"/>
    <col min="4" max="4" width="13.85546875" customWidth="1"/>
    <col min="5" max="5" width="19" customWidth="1"/>
    <col min="6" max="6" width="18.140625" customWidth="1"/>
  </cols>
  <sheetData>
    <row r="1" spans="1:6" ht="45" x14ac:dyDescent="0.25">
      <c r="A1" s="1" t="s">
        <v>3</v>
      </c>
      <c r="B1" s="1" t="s">
        <v>160</v>
      </c>
      <c r="C1" s="1" t="s">
        <v>161</v>
      </c>
      <c r="D1" s="1" t="s">
        <v>4</v>
      </c>
      <c r="E1" s="1" t="s">
        <v>162</v>
      </c>
      <c r="F1" s="1" t="s">
        <v>163</v>
      </c>
    </row>
    <row r="2" spans="1:6" ht="45" x14ac:dyDescent="0.25">
      <c r="A2" s="2" t="s">
        <v>13</v>
      </c>
      <c r="B2" s="2" t="s">
        <v>164</v>
      </c>
      <c r="C2" s="2" t="s">
        <v>165</v>
      </c>
      <c r="D2" s="2" t="s">
        <v>80</v>
      </c>
      <c r="E2" s="2">
        <v>15</v>
      </c>
      <c r="F2" s="2">
        <v>250</v>
      </c>
    </row>
    <row r="3" spans="1:6" ht="45" x14ac:dyDescent="0.25">
      <c r="A3" s="2" t="s">
        <v>21</v>
      </c>
      <c r="B3" s="2" t="s">
        <v>166</v>
      </c>
      <c r="C3" s="2" t="s">
        <v>167</v>
      </c>
      <c r="D3" s="2" t="s">
        <v>99</v>
      </c>
      <c r="E3" s="2">
        <v>12</v>
      </c>
      <c r="F3" s="2">
        <v>300</v>
      </c>
    </row>
    <row r="4" spans="1:6" ht="45" x14ac:dyDescent="0.25">
      <c r="A4" s="2" t="s">
        <v>29</v>
      </c>
      <c r="B4" s="2" t="s">
        <v>168</v>
      </c>
      <c r="C4" s="2" t="s">
        <v>169</v>
      </c>
      <c r="D4" s="2" t="s">
        <v>30</v>
      </c>
      <c r="E4" s="2">
        <v>8</v>
      </c>
      <c r="F4" s="2">
        <v>200</v>
      </c>
    </row>
    <row r="5" spans="1:6" ht="60" x14ac:dyDescent="0.25">
      <c r="A5" s="2" t="s">
        <v>42</v>
      </c>
      <c r="B5" s="2" t="s">
        <v>170</v>
      </c>
      <c r="C5" s="2" t="s">
        <v>171</v>
      </c>
      <c r="D5" s="2" t="s">
        <v>57</v>
      </c>
      <c r="E5" s="2">
        <v>10</v>
      </c>
      <c r="F5" s="2">
        <v>150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F9E9B-28A3-40C2-8598-13AAEB71C092}">
  <dimension ref="A1:G37"/>
  <sheetViews>
    <sheetView topLeftCell="A24" workbookViewId="0">
      <selection activeCell="I34" sqref="I34"/>
    </sheetView>
  </sheetViews>
  <sheetFormatPr defaultRowHeight="15" x14ac:dyDescent="0.25"/>
  <cols>
    <col min="1" max="1" width="9.42578125" customWidth="1"/>
    <col min="2" max="2" width="11.85546875" customWidth="1"/>
    <col min="3" max="3" width="18.140625" customWidth="1"/>
    <col min="4" max="4" width="16.7109375" customWidth="1"/>
    <col min="5" max="5" width="20.42578125" customWidth="1"/>
    <col min="6" max="7" width="16.85546875" customWidth="1"/>
  </cols>
  <sheetData>
    <row r="1" spans="1:7" ht="60" x14ac:dyDescent="0.25">
      <c r="A1" s="1" t="s">
        <v>0</v>
      </c>
      <c r="B1" s="1" t="s">
        <v>2</v>
      </c>
      <c r="C1" s="1" t="s">
        <v>163</v>
      </c>
      <c r="D1" s="1" t="s">
        <v>172</v>
      </c>
      <c r="E1" s="1" t="s">
        <v>173</v>
      </c>
      <c r="F1" s="1" t="s">
        <v>174</v>
      </c>
      <c r="G1" s="1" t="s">
        <v>175</v>
      </c>
    </row>
    <row r="2" spans="1:7" x14ac:dyDescent="0.25">
      <c r="A2" s="2" t="s">
        <v>10</v>
      </c>
      <c r="B2" s="2" t="s">
        <v>12</v>
      </c>
      <c r="C2" s="2">
        <v>250</v>
      </c>
      <c r="D2" s="2">
        <v>150</v>
      </c>
      <c r="E2" s="2">
        <v>320</v>
      </c>
      <c r="F2" s="2"/>
      <c r="G2" s="2" t="s">
        <v>176</v>
      </c>
    </row>
    <row r="3" spans="1:7" x14ac:dyDescent="0.25">
      <c r="A3" s="2" t="s">
        <v>19</v>
      </c>
      <c r="B3" s="2" t="s">
        <v>20</v>
      </c>
      <c r="C3" s="2">
        <v>300</v>
      </c>
      <c r="D3" s="2">
        <v>500</v>
      </c>
      <c r="E3" s="2">
        <v>640</v>
      </c>
      <c r="F3" s="2">
        <v>160</v>
      </c>
      <c r="G3" s="2" t="s">
        <v>176</v>
      </c>
    </row>
    <row r="4" spans="1:7" x14ac:dyDescent="0.25">
      <c r="A4" s="2" t="s">
        <v>26</v>
      </c>
      <c r="B4" s="2" t="s">
        <v>28</v>
      </c>
      <c r="C4" s="2">
        <v>200</v>
      </c>
      <c r="D4" s="2">
        <v>100</v>
      </c>
      <c r="E4" s="2">
        <v>240</v>
      </c>
      <c r="F4" s="2">
        <v>60</v>
      </c>
      <c r="G4" s="2"/>
    </row>
    <row r="5" spans="1:7" x14ac:dyDescent="0.25">
      <c r="A5" s="2" t="s">
        <v>35</v>
      </c>
      <c r="B5" s="2" t="s">
        <v>37</v>
      </c>
      <c r="C5" s="2">
        <v>250</v>
      </c>
      <c r="D5" s="2">
        <v>800</v>
      </c>
      <c r="E5" s="2">
        <v>840</v>
      </c>
      <c r="F5" s="2">
        <v>210</v>
      </c>
      <c r="G5" s="2" t="s">
        <v>176</v>
      </c>
    </row>
    <row r="6" spans="1:7" x14ac:dyDescent="0.25">
      <c r="A6" s="2" t="s">
        <v>40</v>
      </c>
      <c r="B6" s="2" t="s">
        <v>41</v>
      </c>
      <c r="C6" s="2">
        <v>150</v>
      </c>
      <c r="D6" s="2">
        <v>200</v>
      </c>
      <c r="E6" s="2">
        <v>280</v>
      </c>
      <c r="F6" s="2"/>
      <c r="G6" s="2" t="s">
        <v>177</v>
      </c>
    </row>
    <row r="7" spans="1:7" x14ac:dyDescent="0.25">
      <c r="A7" s="2" t="s">
        <v>45</v>
      </c>
      <c r="B7" s="2" t="s">
        <v>47</v>
      </c>
      <c r="C7" s="2">
        <v>300</v>
      </c>
      <c r="D7" s="2">
        <v>350</v>
      </c>
      <c r="E7" s="2">
        <v>520</v>
      </c>
      <c r="F7" s="2">
        <v>130</v>
      </c>
      <c r="G7" s="2" t="s">
        <v>176</v>
      </c>
    </row>
    <row r="8" spans="1:7" x14ac:dyDescent="0.25">
      <c r="A8" s="2" t="s">
        <v>50</v>
      </c>
      <c r="B8" s="2" t="s">
        <v>52</v>
      </c>
      <c r="C8" s="2">
        <v>200</v>
      </c>
      <c r="D8" s="2">
        <v>600</v>
      </c>
      <c r="E8" s="2">
        <v>640</v>
      </c>
      <c r="F8" s="2"/>
      <c r="G8" s="2" t="s">
        <v>176</v>
      </c>
    </row>
    <row r="9" spans="1:7" x14ac:dyDescent="0.25">
      <c r="A9" s="2" t="s">
        <v>55</v>
      </c>
      <c r="B9" s="2" t="s">
        <v>56</v>
      </c>
      <c r="C9" s="2">
        <v>150</v>
      </c>
      <c r="D9" s="2">
        <v>180</v>
      </c>
      <c r="E9" s="2">
        <v>264</v>
      </c>
      <c r="F9" s="2">
        <v>66</v>
      </c>
      <c r="G9" s="2" t="s">
        <v>176</v>
      </c>
    </row>
    <row r="10" spans="1:7" x14ac:dyDescent="0.25">
      <c r="A10" s="2" t="s">
        <v>59</v>
      </c>
      <c r="B10" s="2" t="s">
        <v>61</v>
      </c>
      <c r="C10" s="2">
        <v>250</v>
      </c>
      <c r="D10" s="2">
        <v>400</v>
      </c>
      <c r="E10" s="2">
        <v>520</v>
      </c>
      <c r="F10" s="2">
        <v>130</v>
      </c>
      <c r="G10" s="2"/>
    </row>
    <row r="11" spans="1:7" x14ac:dyDescent="0.25">
      <c r="A11" s="2" t="s">
        <v>64</v>
      </c>
      <c r="B11" s="2" t="s">
        <v>66</v>
      </c>
      <c r="C11" s="2">
        <v>300</v>
      </c>
      <c r="D11" s="2">
        <v>250</v>
      </c>
      <c r="E11" s="2">
        <v>440</v>
      </c>
      <c r="F11" s="2">
        <v>110</v>
      </c>
      <c r="G11" s="2" t="s">
        <v>176</v>
      </c>
    </row>
    <row r="12" spans="1:7" x14ac:dyDescent="0.25">
      <c r="A12" s="2" t="s">
        <v>68</v>
      </c>
      <c r="B12" s="2" t="s">
        <v>69</v>
      </c>
      <c r="C12" s="2">
        <v>200</v>
      </c>
      <c r="D12" s="2">
        <v>450</v>
      </c>
      <c r="E12" s="2">
        <v>520</v>
      </c>
      <c r="F12" s="2"/>
      <c r="G12" s="2" t="s">
        <v>176</v>
      </c>
    </row>
    <row r="13" spans="1:7" x14ac:dyDescent="0.25">
      <c r="A13" s="2" t="s">
        <v>72</v>
      </c>
      <c r="B13" s="2" t="s">
        <v>74</v>
      </c>
      <c r="C13" s="2">
        <v>150</v>
      </c>
      <c r="D13" s="2">
        <v>160</v>
      </c>
      <c r="E13" s="2">
        <v>248</v>
      </c>
      <c r="F13" s="2">
        <v>62</v>
      </c>
      <c r="G13" s="2" t="s">
        <v>176</v>
      </c>
    </row>
    <row r="14" spans="1:7" x14ac:dyDescent="0.25">
      <c r="A14" s="2" t="s">
        <v>77</v>
      </c>
      <c r="B14" s="2" t="s">
        <v>79</v>
      </c>
      <c r="C14" s="2">
        <v>250</v>
      </c>
      <c r="D14" s="2">
        <v>700</v>
      </c>
      <c r="E14" s="2">
        <v>760</v>
      </c>
      <c r="F14" s="2">
        <v>190</v>
      </c>
      <c r="G14" s="2"/>
    </row>
    <row r="15" spans="1:7" x14ac:dyDescent="0.25">
      <c r="A15" s="2" t="s">
        <v>82</v>
      </c>
      <c r="B15" s="2" t="s">
        <v>83</v>
      </c>
      <c r="C15" s="2">
        <v>300</v>
      </c>
      <c r="D15" s="2">
        <v>280</v>
      </c>
      <c r="E15" s="2">
        <v>464</v>
      </c>
      <c r="F15" s="2"/>
      <c r="G15" s="2" t="s">
        <v>177</v>
      </c>
    </row>
    <row r="16" spans="1:7" x14ac:dyDescent="0.25">
      <c r="A16" s="2" t="s">
        <v>85</v>
      </c>
      <c r="B16" s="2" t="s">
        <v>87</v>
      </c>
      <c r="C16" s="2">
        <v>200</v>
      </c>
      <c r="D16" s="2">
        <v>120</v>
      </c>
      <c r="E16" s="2">
        <v>256</v>
      </c>
      <c r="F16" s="2">
        <v>64</v>
      </c>
      <c r="G16" s="2" t="s">
        <v>176</v>
      </c>
    </row>
    <row r="17" spans="1:7" x14ac:dyDescent="0.25">
      <c r="A17" s="2" t="s">
        <v>89</v>
      </c>
      <c r="B17" s="2" t="s">
        <v>91</v>
      </c>
      <c r="C17" s="2">
        <v>150</v>
      </c>
      <c r="D17" s="2">
        <v>220</v>
      </c>
      <c r="E17" s="2">
        <v>296</v>
      </c>
      <c r="F17" s="2">
        <v>74</v>
      </c>
      <c r="G17" s="2" t="s">
        <v>176</v>
      </c>
    </row>
    <row r="18" spans="1:7" x14ac:dyDescent="0.25">
      <c r="A18" s="2" t="s">
        <v>93</v>
      </c>
      <c r="B18" s="2" t="s">
        <v>94</v>
      </c>
      <c r="C18" s="2">
        <v>250</v>
      </c>
      <c r="D18" s="2">
        <v>380</v>
      </c>
      <c r="E18" s="2">
        <v>504</v>
      </c>
      <c r="F18" s="2"/>
      <c r="G18" s="2" t="s">
        <v>176</v>
      </c>
    </row>
    <row r="19" spans="1:7" x14ac:dyDescent="0.25">
      <c r="A19" s="2" t="s">
        <v>96</v>
      </c>
      <c r="B19" s="2" t="s">
        <v>98</v>
      </c>
      <c r="C19" s="2">
        <v>300</v>
      </c>
      <c r="D19" s="2">
        <v>320</v>
      </c>
      <c r="E19" s="2">
        <v>496</v>
      </c>
      <c r="F19" s="2">
        <v>124</v>
      </c>
      <c r="G19" s="2" t="s">
        <v>176</v>
      </c>
    </row>
    <row r="20" spans="1:7" x14ac:dyDescent="0.25">
      <c r="A20" s="2" t="s">
        <v>101</v>
      </c>
      <c r="B20" s="2" t="s">
        <v>102</v>
      </c>
      <c r="C20" s="2">
        <v>200</v>
      </c>
      <c r="D20" s="2">
        <v>550</v>
      </c>
      <c r="E20" s="2">
        <v>600</v>
      </c>
      <c r="F20" s="2"/>
      <c r="G20" s="2"/>
    </row>
    <row r="21" spans="1:7" x14ac:dyDescent="0.25">
      <c r="A21" s="2" t="s">
        <v>104</v>
      </c>
      <c r="B21" s="2" t="s">
        <v>105</v>
      </c>
      <c r="C21" s="2">
        <v>150</v>
      </c>
      <c r="D21" s="2">
        <v>170</v>
      </c>
      <c r="E21" s="2">
        <v>256</v>
      </c>
      <c r="F21" s="2">
        <v>64</v>
      </c>
      <c r="G21" s="2" t="s">
        <v>176</v>
      </c>
    </row>
    <row r="22" spans="1:7" x14ac:dyDescent="0.25">
      <c r="A22" s="2" t="s">
        <v>107</v>
      </c>
      <c r="B22" s="2" t="s">
        <v>109</v>
      </c>
      <c r="C22" s="2">
        <v>250</v>
      </c>
      <c r="D22" s="2">
        <v>420</v>
      </c>
      <c r="E22" s="2">
        <v>536</v>
      </c>
      <c r="F22" s="2">
        <v>134</v>
      </c>
      <c r="G22" s="2" t="s">
        <v>176</v>
      </c>
    </row>
    <row r="23" spans="1:7" x14ac:dyDescent="0.25">
      <c r="A23" s="2" t="s">
        <v>110</v>
      </c>
      <c r="B23" s="2" t="s">
        <v>111</v>
      </c>
      <c r="C23" s="2">
        <v>300</v>
      </c>
      <c r="D23" s="2">
        <v>480</v>
      </c>
      <c r="E23" s="2">
        <v>624</v>
      </c>
      <c r="F23" s="2"/>
      <c r="G23" s="2" t="s">
        <v>177</v>
      </c>
    </row>
    <row r="24" spans="1:7" x14ac:dyDescent="0.25">
      <c r="A24" s="2" t="s">
        <v>113</v>
      </c>
      <c r="B24" s="2" t="s">
        <v>114</v>
      </c>
      <c r="C24" s="2">
        <v>200</v>
      </c>
      <c r="D24" s="2">
        <v>110</v>
      </c>
      <c r="E24" s="2">
        <v>248</v>
      </c>
      <c r="F24" s="2">
        <v>62</v>
      </c>
      <c r="G24" s="2" t="s">
        <v>176</v>
      </c>
    </row>
    <row r="25" spans="1:7" x14ac:dyDescent="0.25">
      <c r="A25" s="2" t="s">
        <v>116</v>
      </c>
      <c r="B25" s="2" t="s">
        <v>118</v>
      </c>
      <c r="C25" s="2">
        <v>150</v>
      </c>
      <c r="D25" s="2">
        <v>190</v>
      </c>
      <c r="E25" s="2">
        <v>272</v>
      </c>
      <c r="F25" s="2">
        <v>68</v>
      </c>
      <c r="G25" s="2" t="s">
        <v>176</v>
      </c>
    </row>
    <row r="26" spans="1:7" x14ac:dyDescent="0.25">
      <c r="A26" s="2" t="s">
        <v>120</v>
      </c>
      <c r="B26" s="2" t="s">
        <v>121</v>
      </c>
      <c r="C26" s="2">
        <v>250</v>
      </c>
      <c r="D26" s="2">
        <v>900</v>
      </c>
      <c r="E26" s="2">
        <v>920</v>
      </c>
      <c r="F26" s="2"/>
      <c r="G26" s="2" t="s">
        <v>176</v>
      </c>
    </row>
    <row r="27" spans="1:7" x14ac:dyDescent="0.25">
      <c r="A27" s="2" t="s">
        <v>123</v>
      </c>
      <c r="B27" s="2" t="s">
        <v>124</v>
      </c>
      <c r="C27" s="2">
        <v>300</v>
      </c>
      <c r="D27" s="2">
        <v>260</v>
      </c>
      <c r="E27" s="2">
        <v>448</v>
      </c>
      <c r="F27" s="2">
        <v>112</v>
      </c>
      <c r="G27" s="2" t="s">
        <v>176</v>
      </c>
    </row>
    <row r="28" spans="1:7" x14ac:dyDescent="0.25">
      <c r="A28" s="2" t="s">
        <v>126</v>
      </c>
      <c r="B28" s="2" t="s">
        <v>128</v>
      </c>
      <c r="C28" s="2">
        <v>200</v>
      </c>
      <c r="D28" s="2">
        <v>140</v>
      </c>
      <c r="E28" s="2">
        <v>272</v>
      </c>
      <c r="F28" s="2">
        <v>68</v>
      </c>
      <c r="G28" s="2"/>
    </row>
    <row r="29" spans="1:7" x14ac:dyDescent="0.25">
      <c r="A29" s="2" t="s">
        <v>130</v>
      </c>
      <c r="B29" s="2" t="s">
        <v>131</v>
      </c>
      <c r="C29" s="2">
        <v>150</v>
      </c>
      <c r="D29" s="2">
        <v>210</v>
      </c>
      <c r="E29" s="2">
        <v>288</v>
      </c>
      <c r="F29" s="2">
        <v>72</v>
      </c>
      <c r="G29" s="2" t="s">
        <v>176</v>
      </c>
    </row>
    <row r="30" spans="1:7" x14ac:dyDescent="0.25">
      <c r="A30" s="2" t="s">
        <v>133</v>
      </c>
      <c r="B30" s="2" t="s">
        <v>134</v>
      </c>
      <c r="C30" s="2">
        <v>250</v>
      </c>
      <c r="D30" s="2">
        <v>1200</v>
      </c>
      <c r="E30" s="2">
        <v>1160</v>
      </c>
      <c r="F30" s="2">
        <v>290</v>
      </c>
      <c r="G30" s="2" t="s">
        <v>176</v>
      </c>
    </row>
    <row r="31" spans="1:7" x14ac:dyDescent="0.25">
      <c r="A31" s="2" t="s">
        <v>136</v>
      </c>
      <c r="B31" s="2" t="s">
        <v>138</v>
      </c>
      <c r="C31" s="2">
        <v>300</v>
      </c>
      <c r="D31" s="2">
        <v>400</v>
      </c>
      <c r="E31" s="2">
        <v>560</v>
      </c>
      <c r="F31" s="2"/>
      <c r="G31" s="2" t="s">
        <v>177</v>
      </c>
    </row>
    <row r="32" spans="1:7" x14ac:dyDescent="0.25">
      <c r="A32" s="2" t="s">
        <v>140</v>
      </c>
      <c r="B32" s="2" t="s">
        <v>142</v>
      </c>
      <c r="C32" s="2">
        <v>200</v>
      </c>
      <c r="D32" s="2">
        <v>130</v>
      </c>
      <c r="E32" s="2">
        <v>264</v>
      </c>
      <c r="F32" s="2">
        <v>66</v>
      </c>
      <c r="G32" s="2" t="s">
        <v>176</v>
      </c>
    </row>
    <row r="33" spans="1:7" x14ac:dyDescent="0.25">
      <c r="A33" s="2" t="s">
        <v>144</v>
      </c>
      <c r="B33" s="2" t="s">
        <v>145</v>
      </c>
      <c r="C33" s="2">
        <v>150</v>
      </c>
      <c r="D33" s="2">
        <v>230</v>
      </c>
      <c r="E33" s="2">
        <v>304</v>
      </c>
      <c r="F33" s="2">
        <v>76</v>
      </c>
      <c r="G33" s="2" t="s">
        <v>176</v>
      </c>
    </row>
    <row r="34" spans="1:7" x14ac:dyDescent="0.25">
      <c r="A34" s="2" t="s">
        <v>146</v>
      </c>
      <c r="B34" s="2" t="s">
        <v>148</v>
      </c>
      <c r="C34" s="2">
        <v>250</v>
      </c>
      <c r="D34" s="2">
        <v>360</v>
      </c>
      <c r="E34" s="2">
        <v>488</v>
      </c>
      <c r="F34" s="2">
        <v>122</v>
      </c>
      <c r="G34" s="2" t="s">
        <v>176</v>
      </c>
    </row>
    <row r="35" spans="1:7" x14ac:dyDescent="0.25">
      <c r="A35" s="2" t="s">
        <v>150</v>
      </c>
      <c r="B35" s="2" t="s">
        <v>152</v>
      </c>
      <c r="C35" s="2">
        <v>300</v>
      </c>
      <c r="D35" s="2">
        <v>290</v>
      </c>
      <c r="E35" s="2">
        <v>472</v>
      </c>
      <c r="F35" s="2"/>
      <c r="G35" s="2" t="s">
        <v>176</v>
      </c>
    </row>
    <row r="36" spans="1:7" x14ac:dyDescent="0.25">
      <c r="A36" s="2" t="s">
        <v>154</v>
      </c>
      <c r="B36" s="2" t="s">
        <v>155</v>
      </c>
      <c r="C36" s="2">
        <v>200</v>
      </c>
      <c r="D36" s="2">
        <v>160</v>
      </c>
      <c r="E36" s="2">
        <v>288</v>
      </c>
      <c r="F36" s="2">
        <v>72</v>
      </c>
      <c r="G36" s="2" t="s">
        <v>176</v>
      </c>
    </row>
    <row r="37" spans="1:7" x14ac:dyDescent="0.25">
      <c r="A37" s="2" t="s">
        <v>157</v>
      </c>
      <c r="B37" s="2" t="s">
        <v>159</v>
      </c>
      <c r="C37" s="2">
        <v>150</v>
      </c>
      <c r="D37" s="2">
        <v>195</v>
      </c>
      <c r="E37" s="2">
        <v>276</v>
      </c>
      <c r="F37" s="2">
        <v>69</v>
      </c>
      <c r="G37" s="2" t="s">
        <v>176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DC56-1A24-4BD1-9048-3605786C8A8D}">
  <dimension ref="A1:R38"/>
  <sheetViews>
    <sheetView workbookViewId="0">
      <selection activeCell="E1" activeCellId="1" sqref="A1:A1048576 E1:E1048576"/>
    </sheetView>
  </sheetViews>
  <sheetFormatPr defaultRowHeight="15" x14ac:dyDescent="0.25"/>
  <cols>
    <col min="1" max="1" width="9.5703125" bestFit="1" customWidth="1"/>
    <col min="2" max="2" width="11.85546875" bestFit="1" customWidth="1"/>
    <col min="3" max="3" width="12" bestFit="1" customWidth="1"/>
    <col min="4" max="4" width="11.42578125" bestFit="1" customWidth="1"/>
    <col min="5" max="5" width="15.5703125" bestFit="1" customWidth="1"/>
    <col min="6" max="6" width="19" bestFit="1" customWidth="1"/>
    <col min="7" max="7" width="12" bestFit="1" customWidth="1"/>
    <col min="8" max="8" width="16.7109375" bestFit="1" customWidth="1"/>
    <col min="9" max="9" width="16.42578125" bestFit="1" customWidth="1"/>
    <col min="10" max="10" width="10.85546875" bestFit="1" customWidth="1"/>
    <col min="11" max="11" width="21" bestFit="1" customWidth="1"/>
    <col min="12" max="12" width="19.140625" bestFit="1" customWidth="1"/>
    <col min="13" max="13" width="18.5703125" bestFit="1" customWidth="1"/>
    <col min="14" max="14" width="18.42578125" bestFit="1" customWidth="1"/>
    <col min="15" max="15" width="17" bestFit="1" customWidth="1"/>
    <col min="16" max="16" width="20.85546875" bestFit="1" customWidth="1"/>
    <col min="17" max="18" width="17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160</v>
      </c>
      <c r="L1" t="s">
        <v>161</v>
      </c>
      <c r="M1" t="s">
        <v>162</v>
      </c>
      <c r="N1" t="s">
        <v>163</v>
      </c>
      <c r="O1" t="s">
        <v>172</v>
      </c>
      <c r="P1" t="s">
        <v>173</v>
      </c>
      <c r="Q1" t="s">
        <v>174</v>
      </c>
      <c r="R1" t="s">
        <v>175</v>
      </c>
    </row>
    <row r="2" spans="1:18" x14ac:dyDescent="0.25">
      <c r="A2" s="5" t="s">
        <v>10</v>
      </c>
      <c r="B2" s="3">
        <v>46115</v>
      </c>
      <c r="C2" s="5" t="s">
        <v>12</v>
      </c>
      <c r="D2" s="5" t="s">
        <v>13</v>
      </c>
      <c r="E2" s="5" t="s">
        <v>80</v>
      </c>
      <c r="F2" s="5" t="s">
        <v>15</v>
      </c>
      <c r="G2" s="5" t="s">
        <v>178</v>
      </c>
      <c r="H2" s="5" t="s">
        <v>17</v>
      </c>
      <c r="I2" s="5" t="s">
        <v>179</v>
      </c>
      <c r="J2" s="5" t="s">
        <v>18</v>
      </c>
      <c r="K2" s="5" t="s">
        <v>164</v>
      </c>
      <c r="L2" s="5" t="s">
        <v>165</v>
      </c>
      <c r="M2">
        <v>15</v>
      </c>
      <c r="N2">
        <v>250</v>
      </c>
      <c r="O2">
        <v>150</v>
      </c>
      <c r="P2">
        <v>320</v>
      </c>
      <c r="Q2">
        <v>160</v>
      </c>
      <c r="R2" s="5" t="s">
        <v>176</v>
      </c>
    </row>
    <row r="3" spans="1:18" x14ac:dyDescent="0.25">
      <c r="A3" s="5" t="s">
        <v>10</v>
      </c>
      <c r="B3" s="3">
        <v>46115</v>
      </c>
      <c r="C3" s="5" t="s">
        <v>12</v>
      </c>
      <c r="D3" s="5" t="s">
        <v>13</v>
      </c>
      <c r="E3" s="5" t="s">
        <v>80</v>
      </c>
      <c r="F3" s="5" t="s">
        <v>15</v>
      </c>
      <c r="G3" s="5" t="s">
        <v>178</v>
      </c>
      <c r="H3" s="5" t="s">
        <v>17</v>
      </c>
      <c r="I3" s="5" t="s">
        <v>179</v>
      </c>
      <c r="J3" s="5" t="s">
        <v>18</v>
      </c>
      <c r="K3" s="5" t="s">
        <v>164</v>
      </c>
      <c r="L3" s="5" t="s">
        <v>165</v>
      </c>
      <c r="M3">
        <v>15</v>
      </c>
      <c r="N3">
        <v>250</v>
      </c>
      <c r="O3">
        <v>150</v>
      </c>
      <c r="P3">
        <v>320</v>
      </c>
      <c r="Q3">
        <v>160</v>
      </c>
      <c r="R3" s="5" t="s">
        <v>176</v>
      </c>
    </row>
    <row r="4" spans="1:18" x14ac:dyDescent="0.25">
      <c r="A4" s="5" t="s">
        <v>35</v>
      </c>
      <c r="B4" s="3">
        <v>46115</v>
      </c>
      <c r="C4" s="5" t="s">
        <v>37</v>
      </c>
      <c r="D4" s="5" t="s">
        <v>13</v>
      </c>
      <c r="E4" s="5" t="s">
        <v>80</v>
      </c>
      <c r="F4" s="5" t="s">
        <v>39</v>
      </c>
      <c r="G4" s="5" t="s">
        <v>24</v>
      </c>
      <c r="H4" s="5" t="s">
        <v>17</v>
      </c>
      <c r="I4" s="5" t="s">
        <v>180</v>
      </c>
      <c r="J4" s="5" t="s">
        <v>18</v>
      </c>
      <c r="K4" s="5" t="s">
        <v>164</v>
      </c>
      <c r="L4" s="5" t="s">
        <v>165</v>
      </c>
      <c r="M4">
        <v>15</v>
      </c>
      <c r="N4">
        <v>250</v>
      </c>
      <c r="O4">
        <v>800</v>
      </c>
      <c r="P4">
        <v>840</v>
      </c>
      <c r="Q4">
        <v>210</v>
      </c>
      <c r="R4" s="5" t="s">
        <v>176</v>
      </c>
    </row>
    <row r="5" spans="1:18" x14ac:dyDescent="0.25">
      <c r="A5" s="5" t="s">
        <v>19</v>
      </c>
      <c r="B5" s="3">
        <v>45307</v>
      </c>
      <c r="C5" s="5" t="s">
        <v>20</v>
      </c>
      <c r="D5" s="5" t="s">
        <v>21</v>
      </c>
      <c r="E5" s="5" t="s">
        <v>99</v>
      </c>
      <c r="F5" s="5" t="s">
        <v>23</v>
      </c>
      <c r="G5" s="5" t="s">
        <v>24</v>
      </c>
      <c r="H5" s="5" t="s">
        <v>25</v>
      </c>
      <c r="I5" s="5" t="s">
        <v>179</v>
      </c>
      <c r="J5" s="5" t="s">
        <v>18</v>
      </c>
      <c r="K5" s="5" t="s">
        <v>166</v>
      </c>
      <c r="L5" s="5" t="s">
        <v>167</v>
      </c>
      <c r="M5">
        <v>12</v>
      </c>
      <c r="N5">
        <v>300</v>
      </c>
      <c r="O5">
        <v>500</v>
      </c>
      <c r="P5">
        <v>640</v>
      </c>
      <c r="Q5">
        <v>160</v>
      </c>
      <c r="R5" s="5" t="s">
        <v>176</v>
      </c>
    </row>
    <row r="6" spans="1:18" x14ac:dyDescent="0.25">
      <c r="A6" s="5" t="s">
        <v>26</v>
      </c>
      <c r="B6" s="3">
        <v>45308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181</v>
      </c>
      <c r="J6" s="5" t="s">
        <v>18</v>
      </c>
      <c r="K6" s="5" t="s">
        <v>168</v>
      </c>
      <c r="L6" s="5" t="s">
        <v>169</v>
      </c>
      <c r="M6">
        <v>8</v>
      </c>
      <c r="N6">
        <v>200</v>
      </c>
      <c r="O6">
        <v>100</v>
      </c>
      <c r="P6">
        <v>240</v>
      </c>
      <c r="Q6">
        <v>60</v>
      </c>
      <c r="R6" s="5" t="s">
        <v>176</v>
      </c>
    </row>
    <row r="7" spans="1:18" x14ac:dyDescent="0.25">
      <c r="A7" s="5" t="s">
        <v>40</v>
      </c>
      <c r="B7" s="3">
        <v>45310</v>
      </c>
      <c r="C7" s="5" t="s">
        <v>41</v>
      </c>
      <c r="D7" s="5" t="s">
        <v>42</v>
      </c>
      <c r="E7" s="5" t="s">
        <v>57</v>
      </c>
      <c r="F7" s="5" t="s">
        <v>44</v>
      </c>
      <c r="G7" s="5" t="s">
        <v>32</v>
      </c>
      <c r="H7" s="5" t="s">
        <v>17</v>
      </c>
      <c r="I7" s="5" t="s">
        <v>182</v>
      </c>
      <c r="J7" s="5" t="s">
        <v>18</v>
      </c>
      <c r="K7" s="5" t="s">
        <v>170</v>
      </c>
      <c r="L7" s="5" t="s">
        <v>171</v>
      </c>
      <c r="M7">
        <v>10</v>
      </c>
      <c r="N7">
        <v>150</v>
      </c>
      <c r="O7">
        <v>200</v>
      </c>
      <c r="P7">
        <v>280</v>
      </c>
      <c r="Q7">
        <v>130</v>
      </c>
      <c r="R7" s="5" t="s">
        <v>177</v>
      </c>
    </row>
    <row r="8" spans="1:18" x14ac:dyDescent="0.25">
      <c r="A8" s="5" t="s">
        <v>45</v>
      </c>
      <c r="B8" s="3">
        <v>45311</v>
      </c>
      <c r="C8" s="5" t="s">
        <v>47</v>
      </c>
      <c r="D8" s="5" t="s">
        <v>21</v>
      </c>
      <c r="E8" s="5" t="s">
        <v>99</v>
      </c>
      <c r="F8" s="5" t="s">
        <v>49</v>
      </c>
      <c r="G8" s="5" t="s">
        <v>178</v>
      </c>
      <c r="H8" s="5" t="s">
        <v>25</v>
      </c>
      <c r="I8" s="5" t="s">
        <v>183</v>
      </c>
      <c r="J8" s="5" t="s">
        <v>18</v>
      </c>
      <c r="K8" s="5" t="s">
        <v>166</v>
      </c>
      <c r="L8" s="5" t="s">
        <v>167</v>
      </c>
      <c r="M8">
        <v>12</v>
      </c>
      <c r="N8">
        <v>300</v>
      </c>
      <c r="O8">
        <v>350</v>
      </c>
      <c r="P8">
        <v>520</v>
      </c>
      <c r="Q8">
        <v>130</v>
      </c>
      <c r="R8" s="5" t="s">
        <v>176</v>
      </c>
    </row>
    <row r="9" spans="1:18" x14ac:dyDescent="0.25">
      <c r="A9" s="5" t="s">
        <v>50</v>
      </c>
      <c r="B9" s="3">
        <v>46115</v>
      </c>
      <c r="C9" s="5" t="s">
        <v>52</v>
      </c>
      <c r="D9" s="5" t="s">
        <v>29</v>
      </c>
      <c r="E9" s="5" t="s">
        <v>30</v>
      </c>
      <c r="F9" s="5" t="s">
        <v>54</v>
      </c>
      <c r="G9" s="5" t="s">
        <v>24</v>
      </c>
      <c r="H9" s="5" t="s">
        <v>33</v>
      </c>
      <c r="I9" s="5" t="s">
        <v>183</v>
      </c>
      <c r="J9" s="5" t="s">
        <v>18</v>
      </c>
      <c r="K9" s="5" t="s">
        <v>168</v>
      </c>
      <c r="L9" s="5" t="s">
        <v>169</v>
      </c>
      <c r="M9">
        <v>8</v>
      </c>
      <c r="N9">
        <v>200</v>
      </c>
      <c r="O9">
        <v>600</v>
      </c>
      <c r="P9">
        <v>640</v>
      </c>
      <c r="Q9">
        <v>66</v>
      </c>
      <c r="R9" s="5" t="s">
        <v>176</v>
      </c>
    </row>
    <row r="10" spans="1:18" x14ac:dyDescent="0.25">
      <c r="A10" s="5" t="s">
        <v>55</v>
      </c>
      <c r="B10" s="3">
        <v>45313</v>
      </c>
      <c r="C10" s="5" t="s">
        <v>56</v>
      </c>
      <c r="D10" s="5" t="s">
        <v>42</v>
      </c>
      <c r="E10" s="5" t="s">
        <v>57</v>
      </c>
      <c r="F10" s="5" t="s">
        <v>58</v>
      </c>
      <c r="G10" s="5" t="s">
        <v>32</v>
      </c>
      <c r="H10" s="5" t="s">
        <v>17</v>
      </c>
      <c r="I10" s="5" t="s">
        <v>182</v>
      </c>
      <c r="J10" s="5" t="s">
        <v>18</v>
      </c>
      <c r="K10" s="5" t="s">
        <v>170</v>
      </c>
      <c r="L10" s="5" t="s">
        <v>171</v>
      </c>
      <c r="M10">
        <v>10</v>
      </c>
      <c r="N10">
        <v>150</v>
      </c>
      <c r="O10">
        <v>180</v>
      </c>
      <c r="P10">
        <v>264</v>
      </c>
      <c r="Q10">
        <v>66</v>
      </c>
      <c r="R10" s="5" t="s">
        <v>176</v>
      </c>
    </row>
    <row r="11" spans="1:18" x14ac:dyDescent="0.25">
      <c r="A11" s="5" t="s">
        <v>59</v>
      </c>
      <c r="B11" s="3">
        <v>45314</v>
      </c>
      <c r="C11" s="5" t="s">
        <v>61</v>
      </c>
      <c r="D11" s="5" t="s">
        <v>13</v>
      </c>
      <c r="E11" s="5" t="s">
        <v>80</v>
      </c>
      <c r="F11" s="5" t="s">
        <v>62</v>
      </c>
      <c r="G11" s="5" t="s">
        <v>178</v>
      </c>
      <c r="H11" s="5" t="s">
        <v>25</v>
      </c>
      <c r="I11" s="5" t="s">
        <v>184</v>
      </c>
      <c r="J11" s="5" t="s">
        <v>18</v>
      </c>
      <c r="K11" s="5" t="s">
        <v>164</v>
      </c>
      <c r="L11" s="5" t="s">
        <v>165</v>
      </c>
      <c r="M11">
        <v>15</v>
      </c>
      <c r="N11">
        <v>250</v>
      </c>
      <c r="O11">
        <v>400</v>
      </c>
      <c r="P11">
        <v>520</v>
      </c>
      <c r="Q11">
        <v>130</v>
      </c>
      <c r="R11" s="5" t="s">
        <v>176</v>
      </c>
    </row>
    <row r="12" spans="1:18" x14ac:dyDescent="0.25">
      <c r="A12" s="5" t="s">
        <v>64</v>
      </c>
      <c r="B12" s="3">
        <v>46115</v>
      </c>
      <c r="C12" s="5" t="s">
        <v>66</v>
      </c>
      <c r="D12" s="5" t="s">
        <v>21</v>
      </c>
      <c r="E12" s="5" t="s">
        <v>99</v>
      </c>
      <c r="F12" s="5" t="s">
        <v>67</v>
      </c>
      <c r="G12" s="5" t="s">
        <v>32</v>
      </c>
      <c r="H12" s="5" t="s">
        <v>17</v>
      </c>
      <c r="I12" s="5" t="s">
        <v>185</v>
      </c>
      <c r="J12" s="5" t="s">
        <v>18</v>
      </c>
      <c r="K12" s="5" t="s">
        <v>166</v>
      </c>
      <c r="L12" s="5" t="s">
        <v>167</v>
      </c>
      <c r="M12">
        <v>12</v>
      </c>
      <c r="N12">
        <v>300</v>
      </c>
      <c r="O12">
        <v>250</v>
      </c>
      <c r="P12">
        <v>440</v>
      </c>
      <c r="Q12">
        <v>110</v>
      </c>
      <c r="R12" s="5" t="s">
        <v>176</v>
      </c>
    </row>
    <row r="13" spans="1:18" x14ac:dyDescent="0.25">
      <c r="A13" s="5" t="s">
        <v>68</v>
      </c>
      <c r="B13" s="3">
        <v>45316</v>
      </c>
      <c r="C13" s="5" t="s">
        <v>69</v>
      </c>
      <c r="D13" s="5" t="s">
        <v>29</v>
      </c>
      <c r="E13" s="5" t="s">
        <v>30</v>
      </c>
      <c r="F13" s="5" t="s">
        <v>71</v>
      </c>
      <c r="G13" s="5" t="s">
        <v>24</v>
      </c>
      <c r="H13" s="5" t="s">
        <v>33</v>
      </c>
      <c r="I13" s="5" t="s">
        <v>185</v>
      </c>
      <c r="J13" s="5" t="s">
        <v>18</v>
      </c>
      <c r="K13" s="5" t="s">
        <v>168</v>
      </c>
      <c r="L13" s="5" t="s">
        <v>169</v>
      </c>
      <c r="M13">
        <v>8</v>
      </c>
      <c r="N13">
        <v>200</v>
      </c>
      <c r="O13">
        <v>450</v>
      </c>
      <c r="P13">
        <v>520</v>
      </c>
      <c r="Q13">
        <v>62</v>
      </c>
      <c r="R13" s="5" t="s">
        <v>176</v>
      </c>
    </row>
    <row r="14" spans="1:18" x14ac:dyDescent="0.25">
      <c r="A14" s="5" t="s">
        <v>72</v>
      </c>
      <c r="B14" s="3">
        <v>45317</v>
      </c>
      <c r="C14" s="5" t="s">
        <v>74</v>
      </c>
      <c r="D14" s="5" t="s">
        <v>42</v>
      </c>
      <c r="E14" s="5" t="s">
        <v>57</v>
      </c>
      <c r="F14" s="5" t="s">
        <v>76</v>
      </c>
      <c r="G14" s="5" t="s">
        <v>178</v>
      </c>
      <c r="H14" s="5" t="s">
        <v>17</v>
      </c>
      <c r="I14" s="5" t="s">
        <v>182</v>
      </c>
      <c r="J14" s="5" t="s">
        <v>18</v>
      </c>
      <c r="K14" s="5" t="s">
        <v>170</v>
      </c>
      <c r="L14" s="5" t="s">
        <v>171</v>
      </c>
      <c r="M14">
        <v>10</v>
      </c>
      <c r="N14">
        <v>150</v>
      </c>
      <c r="O14">
        <v>160</v>
      </c>
      <c r="P14">
        <v>248</v>
      </c>
      <c r="Q14">
        <v>62</v>
      </c>
      <c r="R14" s="5" t="s">
        <v>176</v>
      </c>
    </row>
    <row r="15" spans="1:18" x14ac:dyDescent="0.25">
      <c r="A15" s="5" t="s">
        <v>77</v>
      </c>
      <c r="B15" s="3">
        <v>46115</v>
      </c>
      <c r="C15" s="5" t="s">
        <v>79</v>
      </c>
      <c r="D15" s="5" t="s">
        <v>13</v>
      </c>
      <c r="E15" s="5" t="s">
        <v>80</v>
      </c>
      <c r="F15" s="5" t="s">
        <v>81</v>
      </c>
      <c r="G15" s="5" t="s">
        <v>24</v>
      </c>
      <c r="H15" s="5" t="s">
        <v>25</v>
      </c>
      <c r="I15" s="5" t="s">
        <v>186</v>
      </c>
      <c r="J15" s="5" t="s">
        <v>18</v>
      </c>
      <c r="K15" s="5" t="s">
        <v>164</v>
      </c>
      <c r="L15" s="5" t="s">
        <v>165</v>
      </c>
      <c r="M15">
        <v>15</v>
      </c>
      <c r="N15">
        <v>250</v>
      </c>
      <c r="O15">
        <v>700</v>
      </c>
      <c r="P15">
        <v>760</v>
      </c>
      <c r="Q15">
        <v>190</v>
      </c>
      <c r="R15" s="5" t="s">
        <v>177</v>
      </c>
    </row>
    <row r="16" spans="1:18" x14ac:dyDescent="0.25">
      <c r="A16" s="5" t="s">
        <v>82</v>
      </c>
      <c r="B16" s="3">
        <v>45319</v>
      </c>
      <c r="C16" s="5" t="s">
        <v>83</v>
      </c>
      <c r="D16" s="5" t="s">
        <v>21</v>
      </c>
      <c r="E16" s="5" t="s">
        <v>99</v>
      </c>
      <c r="F16" s="5" t="s">
        <v>84</v>
      </c>
      <c r="G16" s="5" t="s">
        <v>32</v>
      </c>
      <c r="H16" s="5" t="s">
        <v>17</v>
      </c>
      <c r="I16" s="5" t="s">
        <v>183</v>
      </c>
      <c r="J16" s="5" t="s">
        <v>18</v>
      </c>
      <c r="K16" s="5" t="s">
        <v>166</v>
      </c>
      <c r="L16" s="5" t="s">
        <v>167</v>
      </c>
      <c r="M16">
        <v>12</v>
      </c>
      <c r="N16">
        <v>300</v>
      </c>
      <c r="O16">
        <v>280</v>
      </c>
      <c r="P16">
        <v>464</v>
      </c>
      <c r="Q16">
        <v>64</v>
      </c>
      <c r="R16" s="5" t="s">
        <v>177</v>
      </c>
    </row>
    <row r="17" spans="1:18" x14ac:dyDescent="0.25">
      <c r="A17" s="5" t="s">
        <v>85</v>
      </c>
      <c r="B17" s="3">
        <v>45320</v>
      </c>
      <c r="C17" s="5" t="s">
        <v>87</v>
      </c>
      <c r="D17" s="5" t="s">
        <v>29</v>
      </c>
      <c r="E17" s="5" t="s">
        <v>30</v>
      </c>
      <c r="F17" s="5" t="s">
        <v>88</v>
      </c>
      <c r="G17" s="5" t="s">
        <v>178</v>
      </c>
      <c r="H17" s="5" t="s">
        <v>33</v>
      </c>
      <c r="I17" s="5" t="s">
        <v>181</v>
      </c>
      <c r="J17" s="5" t="s">
        <v>18</v>
      </c>
      <c r="K17" s="5" t="s">
        <v>168</v>
      </c>
      <c r="L17" s="5" t="s">
        <v>169</v>
      </c>
      <c r="M17">
        <v>8</v>
      </c>
      <c r="N17">
        <v>200</v>
      </c>
      <c r="O17">
        <v>120</v>
      </c>
      <c r="P17">
        <v>256</v>
      </c>
      <c r="Q17">
        <v>64</v>
      </c>
      <c r="R17" s="5" t="s">
        <v>176</v>
      </c>
    </row>
    <row r="18" spans="1:18" x14ac:dyDescent="0.25">
      <c r="A18" s="5" t="s">
        <v>89</v>
      </c>
      <c r="B18" s="3">
        <v>46115</v>
      </c>
      <c r="C18" s="5" t="s">
        <v>91</v>
      </c>
      <c r="D18" s="5" t="s">
        <v>42</v>
      </c>
      <c r="E18" s="5" t="s">
        <v>57</v>
      </c>
      <c r="F18" s="5" t="s">
        <v>92</v>
      </c>
      <c r="G18" s="5" t="s">
        <v>24</v>
      </c>
      <c r="H18" s="5" t="s">
        <v>17</v>
      </c>
      <c r="I18" s="5" t="s">
        <v>187</v>
      </c>
      <c r="J18" s="5" t="s">
        <v>18</v>
      </c>
      <c r="K18" s="5" t="s">
        <v>170</v>
      </c>
      <c r="L18" s="5" t="s">
        <v>171</v>
      </c>
      <c r="M18">
        <v>10</v>
      </c>
      <c r="N18">
        <v>150</v>
      </c>
      <c r="O18">
        <v>220</v>
      </c>
      <c r="P18">
        <v>296</v>
      </c>
      <c r="Q18">
        <v>74</v>
      </c>
      <c r="R18" s="5" t="s">
        <v>176</v>
      </c>
    </row>
    <row r="19" spans="1:18" x14ac:dyDescent="0.25">
      <c r="A19" s="5" t="s">
        <v>93</v>
      </c>
      <c r="B19" s="3">
        <v>45322</v>
      </c>
      <c r="C19" s="5" t="s">
        <v>94</v>
      </c>
      <c r="D19" s="5" t="s">
        <v>13</v>
      </c>
      <c r="E19" s="5" t="s">
        <v>80</v>
      </c>
      <c r="F19" s="5" t="s">
        <v>95</v>
      </c>
      <c r="G19" s="5" t="s">
        <v>32</v>
      </c>
      <c r="H19" s="5" t="s">
        <v>25</v>
      </c>
      <c r="I19" s="5" t="s">
        <v>187</v>
      </c>
      <c r="J19" s="5" t="s">
        <v>18</v>
      </c>
      <c r="K19" s="5" t="s">
        <v>164</v>
      </c>
      <c r="L19" s="5" t="s">
        <v>165</v>
      </c>
      <c r="M19">
        <v>15</v>
      </c>
      <c r="N19">
        <v>250</v>
      </c>
      <c r="O19">
        <v>380</v>
      </c>
      <c r="P19">
        <v>504</v>
      </c>
      <c r="Q19">
        <v>124</v>
      </c>
      <c r="R19" s="5" t="s">
        <v>176</v>
      </c>
    </row>
    <row r="20" spans="1:18" x14ac:dyDescent="0.25">
      <c r="A20" s="5" t="s">
        <v>96</v>
      </c>
      <c r="B20" s="3">
        <v>45323</v>
      </c>
      <c r="C20" s="5" t="s">
        <v>98</v>
      </c>
      <c r="D20" s="5" t="s">
        <v>21</v>
      </c>
      <c r="E20" s="5" t="s">
        <v>99</v>
      </c>
      <c r="F20" s="5" t="s">
        <v>100</v>
      </c>
      <c r="G20" s="5" t="s">
        <v>178</v>
      </c>
      <c r="H20" s="5" t="s">
        <v>17</v>
      </c>
      <c r="I20" s="5" t="s">
        <v>183</v>
      </c>
      <c r="J20" s="5" t="s">
        <v>18</v>
      </c>
      <c r="K20" s="5" t="s">
        <v>166</v>
      </c>
      <c r="L20" s="5" t="s">
        <v>167</v>
      </c>
      <c r="M20">
        <v>12</v>
      </c>
      <c r="N20">
        <v>300</v>
      </c>
      <c r="O20">
        <v>320</v>
      </c>
      <c r="P20">
        <v>496</v>
      </c>
      <c r="Q20">
        <v>124</v>
      </c>
      <c r="R20" s="5" t="s">
        <v>176</v>
      </c>
    </row>
    <row r="21" spans="1:18" x14ac:dyDescent="0.25">
      <c r="A21" s="5" t="s">
        <v>101</v>
      </c>
      <c r="B21" s="3">
        <v>45324</v>
      </c>
      <c r="C21" s="5" t="s">
        <v>102</v>
      </c>
      <c r="D21" s="5" t="s">
        <v>29</v>
      </c>
      <c r="E21" s="5" t="s">
        <v>30</v>
      </c>
      <c r="F21" s="5" t="s">
        <v>103</v>
      </c>
      <c r="G21" s="5" t="s">
        <v>24</v>
      </c>
      <c r="H21" s="5" t="s">
        <v>33</v>
      </c>
      <c r="I21" s="5" t="s">
        <v>183</v>
      </c>
      <c r="J21" s="5" t="s">
        <v>18</v>
      </c>
      <c r="K21" s="5" t="s">
        <v>168</v>
      </c>
      <c r="L21" s="5" t="s">
        <v>169</v>
      </c>
      <c r="M21">
        <v>8</v>
      </c>
      <c r="N21">
        <v>200</v>
      </c>
      <c r="O21">
        <v>550</v>
      </c>
      <c r="P21">
        <v>600</v>
      </c>
      <c r="Q21">
        <v>64</v>
      </c>
      <c r="R21" s="5" t="s">
        <v>176</v>
      </c>
    </row>
    <row r="22" spans="1:18" x14ac:dyDescent="0.25">
      <c r="A22" s="5" t="s">
        <v>104</v>
      </c>
      <c r="B22" s="3">
        <v>45325</v>
      </c>
      <c r="C22" s="5" t="s">
        <v>105</v>
      </c>
      <c r="D22" s="5" t="s">
        <v>42</v>
      </c>
      <c r="E22" s="5" t="s">
        <v>57</v>
      </c>
      <c r="F22" s="5" t="s">
        <v>106</v>
      </c>
      <c r="G22" s="5" t="s">
        <v>32</v>
      </c>
      <c r="H22" s="5" t="s">
        <v>17</v>
      </c>
      <c r="I22" s="5" t="s">
        <v>182</v>
      </c>
      <c r="J22" s="5" t="s">
        <v>18</v>
      </c>
      <c r="K22" s="5" t="s">
        <v>170</v>
      </c>
      <c r="L22" s="5" t="s">
        <v>171</v>
      </c>
      <c r="M22">
        <v>10</v>
      </c>
      <c r="N22">
        <v>150</v>
      </c>
      <c r="O22">
        <v>170</v>
      </c>
      <c r="P22">
        <v>256</v>
      </c>
      <c r="Q22">
        <v>64</v>
      </c>
      <c r="R22" s="5" t="s">
        <v>176</v>
      </c>
    </row>
    <row r="23" spans="1:18" x14ac:dyDescent="0.25">
      <c r="A23" s="5" t="s">
        <v>107</v>
      </c>
      <c r="B23" s="3">
        <v>45326</v>
      </c>
      <c r="C23" s="5" t="s">
        <v>109</v>
      </c>
      <c r="D23" s="5" t="s">
        <v>13</v>
      </c>
      <c r="E23" s="5" t="s">
        <v>80</v>
      </c>
      <c r="F23" s="5" t="s">
        <v>39</v>
      </c>
      <c r="G23" s="5" t="s">
        <v>178</v>
      </c>
      <c r="H23" s="5" t="s">
        <v>25</v>
      </c>
      <c r="I23" s="5" t="s">
        <v>184</v>
      </c>
      <c r="J23" s="5" t="s">
        <v>18</v>
      </c>
      <c r="K23" s="5" t="s">
        <v>164</v>
      </c>
      <c r="L23" s="5" t="s">
        <v>165</v>
      </c>
      <c r="M23">
        <v>15</v>
      </c>
      <c r="N23">
        <v>250</v>
      </c>
      <c r="O23">
        <v>420</v>
      </c>
      <c r="P23">
        <v>536</v>
      </c>
      <c r="Q23">
        <v>134</v>
      </c>
      <c r="R23" s="5" t="s">
        <v>176</v>
      </c>
    </row>
    <row r="24" spans="1:18" x14ac:dyDescent="0.25">
      <c r="A24" s="5" t="s">
        <v>110</v>
      </c>
      <c r="B24" s="3">
        <v>45414</v>
      </c>
      <c r="C24" s="5" t="s">
        <v>111</v>
      </c>
      <c r="D24" s="5" t="s">
        <v>21</v>
      </c>
      <c r="E24" s="5" t="s">
        <v>99</v>
      </c>
      <c r="F24" s="5" t="s">
        <v>112</v>
      </c>
      <c r="G24" s="5" t="s">
        <v>24</v>
      </c>
      <c r="H24" s="5" t="s">
        <v>17</v>
      </c>
      <c r="I24" s="5" t="s">
        <v>179</v>
      </c>
      <c r="J24" s="5" t="s">
        <v>18</v>
      </c>
      <c r="K24" s="5" t="s">
        <v>166</v>
      </c>
      <c r="L24" s="5" t="s">
        <v>167</v>
      </c>
      <c r="M24">
        <v>12</v>
      </c>
      <c r="N24">
        <v>300</v>
      </c>
      <c r="O24">
        <v>480</v>
      </c>
      <c r="P24">
        <v>624</v>
      </c>
      <c r="Q24">
        <v>62</v>
      </c>
      <c r="R24" s="5" t="s">
        <v>177</v>
      </c>
    </row>
    <row r="25" spans="1:18" x14ac:dyDescent="0.25">
      <c r="A25" s="5" t="s">
        <v>113</v>
      </c>
      <c r="B25" s="3">
        <v>45328</v>
      </c>
      <c r="C25" s="5" t="s">
        <v>114</v>
      </c>
      <c r="D25" s="5" t="s">
        <v>29</v>
      </c>
      <c r="E25" s="5" t="s">
        <v>30</v>
      </c>
      <c r="F25" s="5" t="s">
        <v>115</v>
      </c>
      <c r="G25" s="5" t="s">
        <v>32</v>
      </c>
      <c r="H25" s="5" t="s">
        <v>33</v>
      </c>
      <c r="I25" s="5" t="s">
        <v>181</v>
      </c>
      <c r="J25" s="5" t="s">
        <v>18</v>
      </c>
      <c r="K25" s="5" t="s">
        <v>168</v>
      </c>
      <c r="L25" s="5" t="s">
        <v>169</v>
      </c>
      <c r="M25">
        <v>8</v>
      </c>
      <c r="N25">
        <v>200</v>
      </c>
      <c r="O25">
        <v>110</v>
      </c>
      <c r="P25">
        <v>248</v>
      </c>
      <c r="Q25">
        <v>62</v>
      </c>
      <c r="R25" s="5" t="s">
        <v>176</v>
      </c>
    </row>
    <row r="26" spans="1:18" x14ac:dyDescent="0.25">
      <c r="A26" s="5" t="s">
        <v>116</v>
      </c>
      <c r="B26" s="3">
        <v>45329</v>
      </c>
      <c r="C26" s="5" t="s">
        <v>118</v>
      </c>
      <c r="D26" s="5" t="s">
        <v>42</v>
      </c>
      <c r="E26" s="5" t="s">
        <v>57</v>
      </c>
      <c r="F26" s="5" t="s">
        <v>119</v>
      </c>
      <c r="G26" s="5" t="s">
        <v>178</v>
      </c>
      <c r="H26" s="5" t="s">
        <v>17</v>
      </c>
      <c r="I26" s="5" t="s">
        <v>187</v>
      </c>
      <c r="J26" s="5" t="s">
        <v>18</v>
      </c>
      <c r="K26" s="5" t="s">
        <v>170</v>
      </c>
      <c r="L26" s="5" t="s">
        <v>171</v>
      </c>
      <c r="M26">
        <v>10</v>
      </c>
      <c r="N26">
        <v>150</v>
      </c>
      <c r="O26">
        <v>190</v>
      </c>
      <c r="P26">
        <v>272</v>
      </c>
      <c r="Q26">
        <v>68</v>
      </c>
      <c r="R26" s="5" t="s">
        <v>176</v>
      </c>
    </row>
    <row r="27" spans="1:18" x14ac:dyDescent="0.25">
      <c r="A27" s="5" t="s">
        <v>120</v>
      </c>
      <c r="B27" s="3">
        <v>45506</v>
      </c>
      <c r="C27" s="5" t="s">
        <v>121</v>
      </c>
      <c r="D27" s="5" t="s">
        <v>13</v>
      </c>
      <c r="E27" s="5" t="s">
        <v>80</v>
      </c>
      <c r="F27" s="5" t="s">
        <v>122</v>
      </c>
      <c r="G27" s="5" t="s">
        <v>24</v>
      </c>
      <c r="H27" s="5" t="s">
        <v>25</v>
      </c>
      <c r="I27" s="5" t="s">
        <v>187</v>
      </c>
      <c r="J27" s="5" t="s">
        <v>18</v>
      </c>
      <c r="K27" s="5" t="s">
        <v>164</v>
      </c>
      <c r="L27" s="5" t="s">
        <v>165</v>
      </c>
      <c r="M27">
        <v>15</v>
      </c>
      <c r="N27">
        <v>250</v>
      </c>
      <c r="O27">
        <v>900</v>
      </c>
      <c r="P27">
        <v>920</v>
      </c>
      <c r="Q27">
        <v>112</v>
      </c>
      <c r="R27" s="5" t="s">
        <v>176</v>
      </c>
    </row>
    <row r="28" spans="1:18" x14ac:dyDescent="0.25">
      <c r="A28" s="5" t="s">
        <v>123</v>
      </c>
      <c r="B28" s="3">
        <v>45331</v>
      </c>
      <c r="C28" s="5" t="s">
        <v>124</v>
      </c>
      <c r="D28" s="5" t="s">
        <v>21</v>
      </c>
      <c r="E28" s="5" t="s">
        <v>99</v>
      </c>
      <c r="F28" s="5" t="s">
        <v>125</v>
      </c>
      <c r="G28" s="5" t="s">
        <v>32</v>
      </c>
      <c r="H28" s="5" t="s">
        <v>17</v>
      </c>
      <c r="I28" s="5" t="s">
        <v>185</v>
      </c>
      <c r="J28" s="5" t="s">
        <v>18</v>
      </c>
      <c r="K28" s="5" t="s">
        <v>166</v>
      </c>
      <c r="L28" s="5" t="s">
        <v>167</v>
      </c>
      <c r="M28">
        <v>12</v>
      </c>
      <c r="N28">
        <v>300</v>
      </c>
      <c r="O28">
        <v>260</v>
      </c>
      <c r="P28">
        <v>448</v>
      </c>
      <c r="Q28">
        <v>112</v>
      </c>
      <c r="R28" s="5" t="s">
        <v>176</v>
      </c>
    </row>
    <row r="29" spans="1:18" x14ac:dyDescent="0.25">
      <c r="A29" s="5" t="s">
        <v>126</v>
      </c>
      <c r="B29" s="3">
        <v>45332</v>
      </c>
      <c r="C29" s="5" t="s">
        <v>128</v>
      </c>
      <c r="D29" s="5" t="s">
        <v>29</v>
      </c>
      <c r="E29" s="5" t="s">
        <v>30</v>
      </c>
      <c r="F29" s="5" t="s">
        <v>129</v>
      </c>
      <c r="G29" s="5" t="s">
        <v>178</v>
      </c>
      <c r="H29" s="5" t="s">
        <v>33</v>
      </c>
      <c r="I29" s="5" t="s">
        <v>181</v>
      </c>
      <c r="J29" s="5" t="s">
        <v>18</v>
      </c>
      <c r="K29" s="5" t="s">
        <v>168</v>
      </c>
      <c r="L29" s="5" t="s">
        <v>169</v>
      </c>
      <c r="M29">
        <v>8</v>
      </c>
      <c r="N29">
        <v>200</v>
      </c>
      <c r="O29">
        <v>140</v>
      </c>
      <c r="P29">
        <v>272</v>
      </c>
      <c r="Q29">
        <v>68</v>
      </c>
      <c r="R29" s="5" t="s">
        <v>176</v>
      </c>
    </row>
    <row r="30" spans="1:18" x14ac:dyDescent="0.25">
      <c r="A30" s="5" t="s">
        <v>130</v>
      </c>
      <c r="B30" s="3">
        <v>45598</v>
      </c>
      <c r="C30" s="5" t="s">
        <v>131</v>
      </c>
      <c r="D30" s="5" t="s">
        <v>42</v>
      </c>
      <c r="E30" s="5" t="s">
        <v>57</v>
      </c>
      <c r="F30" s="5" t="s">
        <v>132</v>
      </c>
      <c r="G30" s="5" t="s">
        <v>24</v>
      </c>
      <c r="H30" s="5" t="s">
        <v>17</v>
      </c>
      <c r="I30" s="5" t="s">
        <v>182</v>
      </c>
      <c r="J30" s="5" t="s">
        <v>18</v>
      </c>
      <c r="K30" s="5" t="s">
        <v>170</v>
      </c>
      <c r="L30" s="5" t="s">
        <v>171</v>
      </c>
      <c r="M30">
        <v>10</v>
      </c>
      <c r="N30">
        <v>150</v>
      </c>
      <c r="O30">
        <v>210</v>
      </c>
      <c r="P30">
        <v>288</v>
      </c>
      <c r="Q30">
        <v>72</v>
      </c>
      <c r="R30" s="5" t="s">
        <v>176</v>
      </c>
    </row>
    <row r="31" spans="1:18" x14ac:dyDescent="0.25">
      <c r="A31" s="5" t="s">
        <v>133</v>
      </c>
      <c r="B31" s="3">
        <v>45334</v>
      </c>
      <c r="C31" s="5" t="s">
        <v>134</v>
      </c>
      <c r="D31" s="5" t="s">
        <v>13</v>
      </c>
      <c r="E31" s="5" t="s">
        <v>80</v>
      </c>
      <c r="F31" s="5" t="s">
        <v>135</v>
      </c>
      <c r="G31" s="5" t="s">
        <v>24</v>
      </c>
      <c r="H31" s="5" t="s">
        <v>25</v>
      </c>
      <c r="I31" s="5" t="s">
        <v>180</v>
      </c>
      <c r="J31" s="5" t="s">
        <v>18</v>
      </c>
      <c r="K31" s="5" t="s">
        <v>164</v>
      </c>
      <c r="L31" s="5" t="s">
        <v>165</v>
      </c>
      <c r="M31">
        <v>15</v>
      </c>
      <c r="N31">
        <v>250</v>
      </c>
      <c r="O31">
        <v>1200</v>
      </c>
      <c r="P31">
        <v>1160</v>
      </c>
      <c r="Q31">
        <v>290</v>
      </c>
      <c r="R31" s="5" t="s">
        <v>176</v>
      </c>
    </row>
    <row r="32" spans="1:18" x14ac:dyDescent="0.25">
      <c r="A32" s="5" t="s">
        <v>136</v>
      </c>
      <c r="B32" s="3">
        <v>45335</v>
      </c>
      <c r="C32" s="5" t="s">
        <v>138</v>
      </c>
      <c r="D32" s="5" t="s">
        <v>21</v>
      </c>
      <c r="E32" s="5" t="s">
        <v>99</v>
      </c>
      <c r="F32" s="5" t="s">
        <v>139</v>
      </c>
      <c r="G32" s="5" t="s">
        <v>32</v>
      </c>
      <c r="H32" s="5" t="s">
        <v>17</v>
      </c>
      <c r="I32" s="5" t="s">
        <v>185</v>
      </c>
      <c r="J32" s="5" t="s">
        <v>18</v>
      </c>
      <c r="K32" s="5" t="s">
        <v>166</v>
      </c>
      <c r="L32" s="5" t="s">
        <v>167</v>
      </c>
      <c r="M32">
        <v>12</v>
      </c>
      <c r="N32">
        <v>300</v>
      </c>
      <c r="O32">
        <v>400</v>
      </c>
      <c r="P32">
        <v>560</v>
      </c>
      <c r="Q32">
        <v>66</v>
      </c>
      <c r="R32" s="5" t="s">
        <v>177</v>
      </c>
    </row>
    <row r="33" spans="1:18" x14ac:dyDescent="0.25">
      <c r="A33" s="5" t="s">
        <v>140</v>
      </c>
      <c r="B33" s="3">
        <v>46115</v>
      </c>
      <c r="C33" s="5" t="s">
        <v>142</v>
      </c>
      <c r="D33" s="5" t="s">
        <v>29</v>
      </c>
      <c r="E33" s="5" t="s">
        <v>30</v>
      </c>
      <c r="F33" s="5" t="s">
        <v>143</v>
      </c>
      <c r="G33" s="5" t="s">
        <v>178</v>
      </c>
      <c r="H33" s="5" t="s">
        <v>33</v>
      </c>
      <c r="I33" s="5" t="s">
        <v>185</v>
      </c>
      <c r="J33" s="5" t="s">
        <v>18</v>
      </c>
      <c r="K33" s="5" t="s">
        <v>168</v>
      </c>
      <c r="L33" s="5" t="s">
        <v>169</v>
      </c>
      <c r="M33">
        <v>8</v>
      </c>
      <c r="N33">
        <v>200</v>
      </c>
      <c r="O33">
        <v>130</v>
      </c>
      <c r="P33">
        <v>264</v>
      </c>
      <c r="Q33">
        <v>66</v>
      </c>
      <c r="R33" s="5" t="s">
        <v>176</v>
      </c>
    </row>
    <row r="34" spans="1:18" x14ac:dyDescent="0.25">
      <c r="A34" s="5" t="s">
        <v>144</v>
      </c>
      <c r="B34" s="3">
        <v>45337</v>
      </c>
      <c r="C34" s="5" t="s">
        <v>145</v>
      </c>
      <c r="D34" s="5" t="s">
        <v>42</v>
      </c>
      <c r="E34" s="5" t="s">
        <v>57</v>
      </c>
      <c r="F34" s="5" t="s">
        <v>15</v>
      </c>
      <c r="G34" s="5" t="s">
        <v>24</v>
      </c>
      <c r="H34" s="5" t="s">
        <v>17</v>
      </c>
      <c r="I34" s="5" t="s">
        <v>187</v>
      </c>
      <c r="J34" s="5" t="s">
        <v>18</v>
      </c>
      <c r="K34" s="5" t="s">
        <v>170</v>
      </c>
      <c r="L34" s="5" t="s">
        <v>171</v>
      </c>
      <c r="M34">
        <v>10</v>
      </c>
      <c r="N34">
        <v>150</v>
      </c>
      <c r="O34">
        <v>230</v>
      </c>
      <c r="P34">
        <v>304</v>
      </c>
      <c r="Q34">
        <v>76</v>
      </c>
      <c r="R34" s="5" t="s">
        <v>176</v>
      </c>
    </row>
    <row r="35" spans="1:18" x14ac:dyDescent="0.25">
      <c r="A35" s="5" t="s">
        <v>146</v>
      </c>
      <c r="B35" s="3">
        <v>45338</v>
      </c>
      <c r="C35" s="5" t="s">
        <v>148</v>
      </c>
      <c r="D35" s="5" t="s">
        <v>13</v>
      </c>
      <c r="E35" s="5" t="s">
        <v>80</v>
      </c>
      <c r="F35" s="5" t="s">
        <v>149</v>
      </c>
      <c r="G35" s="5" t="s">
        <v>32</v>
      </c>
      <c r="H35" s="5" t="s">
        <v>25</v>
      </c>
      <c r="I35" s="5" t="s">
        <v>188</v>
      </c>
      <c r="J35" s="5" t="s">
        <v>18</v>
      </c>
      <c r="K35" s="5" t="s">
        <v>164</v>
      </c>
      <c r="L35" s="5" t="s">
        <v>165</v>
      </c>
      <c r="M35">
        <v>15</v>
      </c>
      <c r="N35">
        <v>250</v>
      </c>
      <c r="O35">
        <v>360</v>
      </c>
      <c r="P35">
        <v>488</v>
      </c>
      <c r="Q35">
        <v>122</v>
      </c>
      <c r="R35" s="5" t="s">
        <v>176</v>
      </c>
    </row>
    <row r="36" spans="1:18" x14ac:dyDescent="0.25">
      <c r="A36" s="5" t="s">
        <v>150</v>
      </c>
      <c r="B36" s="3">
        <v>46115</v>
      </c>
      <c r="C36" s="5" t="s">
        <v>152</v>
      </c>
      <c r="D36" s="5" t="s">
        <v>21</v>
      </c>
      <c r="E36" s="5" t="s">
        <v>99</v>
      </c>
      <c r="F36" s="5" t="s">
        <v>153</v>
      </c>
      <c r="G36" s="5" t="s">
        <v>178</v>
      </c>
      <c r="H36" s="5" t="s">
        <v>17</v>
      </c>
      <c r="I36" s="5" t="s">
        <v>183</v>
      </c>
      <c r="J36" s="5" t="s">
        <v>18</v>
      </c>
      <c r="K36" s="5" t="s">
        <v>166</v>
      </c>
      <c r="L36" s="5" t="s">
        <v>167</v>
      </c>
      <c r="M36">
        <v>12</v>
      </c>
      <c r="N36">
        <v>300</v>
      </c>
      <c r="O36">
        <v>290</v>
      </c>
      <c r="P36">
        <v>472</v>
      </c>
      <c r="Q36">
        <v>72</v>
      </c>
      <c r="R36" s="5" t="s">
        <v>176</v>
      </c>
    </row>
    <row r="37" spans="1:18" x14ac:dyDescent="0.25">
      <c r="A37" s="5" t="s">
        <v>154</v>
      </c>
      <c r="B37" s="3">
        <v>45340</v>
      </c>
      <c r="C37" s="5" t="s">
        <v>155</v>
      </c>
      <c r="D37" s="5" t="s">
        <v>29</v>
      </c>
      <c r="E37" s="5" t="s">
        <v>30</v>
      </c>
      <c r="F37" s="5" t="s">
        <v>156</v>
      </c>
      <c r="G37" s="5" t="s">
        <v>24</v>
      </c>
      <c r="H37" s="5" t="s">
        <v>33</v>
      </c>
      <c r="I37" s="5" t="s">
        <v>181</v>
      </c>
      <c r="J37" s="5" t="s">
        <v>18</v>
      </c>
      <c r="K37" s="5" t="s">
        <v>168</v>
      </c>
      <c r="L37" s="5" t="s">
        <v>169</v>
      </c>
      <c r="M37">
        <v>8</v>
      </c>
      <c r="N37">
        <v>200</v>
      </c>
      <c r="O37">
        <v>160</v>
      </c>
      <c r="P37">
        <v>288</v>
      </c>
      <c r="Q37">
        <v>72</v>
      </c>
      <c r="R37" s="5" t="s">
        <v>176</v>
      </c>
    </row>
    <row r="38" spans="1:18" x14ac:dyDescent="0.25">
      <c r="A38" s="5" t="s">
        <v>157</v>
      </c>
      <c r="B38" s="3">
        <v>45341</v>
      </c>
      <c r="C38" s="5" t="s">
        <v>159</v>
      </c>
      <c r="D38" s="5" t="s">
        <v>42</v>
      </c>
      <c r="E38" s="5" t="s">
        <v>57</v>
      </c>
      <c r="F38" s="5" t="s">
        <v>49</v>
      </c>
      <c r="G38" s="5" t="s">
        <v>32</v>
      </c>
      <c r="H38" s="5" t="s">
        <v>17</v>
      </c>
      <c r="I38" s="5" t="s">
        <v>182</v>
      </c>
      <c r="J38" s="5" t="s">
        <v>18</v>
      </c>
      <c r="K38" s="5" t="s">
        <v>170</v>
      </c>
      <c r="L38" s="5" t="s">
        <v>171</v>
      </c>
      <c r="M38">
        <v>10</v>
      </c>
      <c r="N38">
        <v>150</v>
      </c>
      <c r="O38">
        <v>195</v>
      </c>
      <c r="P38">
        <v>276</v>
      </c>
      <c r="Q38">
        <v>69</v>
      </c>
      <c r="R38" s="5" t="s">
        <v>176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FF36-0226-45F8-A6B0-D7FDADFDD988}">
  <dimension ref="A1:H2"/>
  <sheetViews>
    <sheetView workbookViewId="0">
      <selection activeCell="G2" sqref="G2"/>
    </sheetView>
  </sheetViews>
  <sheetFormatPr defaultRowHeight="15" x14ac:dyDescent="0.25"/>
  <cols>
    <col min="1" max="1" width="9.85546875" customWidth="1"/>
    <col min="2" max="2" width="12.140625" customWidth="1"/>
    <col min="3" max="3" width="11.85546875" customWidth="1"/>
    <col min="4" max="4" width="13.85546875" customWidth="1"/>
    <col min="5" max="5" width="12" customWidth="1"/>
    <col min="6" max="6" width="12.28515625" customWidth="1"/>
    <col min="7" max="7" width="16.85546875" customWidth="1"/>
    <col min="8" max="8" width="16.140625" customWidth="1"/>
  </cols>
  <sheetData>
    <row r="1" spans="1:8" x14ac:dyDescent="0.25">
      <c r="A1" t="s">
        <v>189</v>
      </c>
      <c r="B1" t="s">
        <v>190</v>
      </c>
      <c r="C1" t="s">
        <v>2</v>
      </c>
      <c r="D1" t="s">
        <v>4</v>
      </c>
      <c r="E1" t="s">
        <v>191</v>
      </c>
      <c r="F1" t="s">
        <v>192</v>
      </c>
      <c r="G1" t="s">
        <v>193</v>
      </c>
      <c r="H1" t="s">
        <v>8</v>
      </c>
    </row>
    <row r="2" spans="1:8" x14ac:dyDescent="0.25">
      <c r="E2" t="s">
        <v>99</v>
      </c>
      <c r="F2" t="s">
        <v>80</v>
      </c>
    </row>
  </sheetData>
  <dataValidations count="3">
    <dataValidation type="list" allowBlank="1" showInputMessage="1" showErrorMessage="1" sqref="F1:F1048576" xr:uid="{A2341D11-1E50-462E-A337-7F1725311E04}">
      <formula1>"Routine,Emergency,Follow-up"</formula1>
    </dataValidation>
    <dataValidation type="list" allowBlank="1" showInputMessage="1" showErrorMessage="1" sqref="E1:E1048576" xr:uid="{9234469E-9102-4C05-A57A-DA278ECEB43C}">
      <formula1>"Cardiology,Orthopedics,Pediatrics,General Practice"</formula1>
    </dataValidation>
    <dataValidation type="list" allowBlank="1" showInputMessage="1" showErrorMessage="1" sqref="G1:G1048576" xr:uid="{B6C2FE05-BD53-4A12-9F51-1085069027BD}">
      <formula1>" Private,Medicare,Medicaid"</formula1>
    </dataValidation>
  </dataValidations>
  <pageMargins left="0.7" right="0.7" top="0.75" bottom="0.75" header="0.3" footer="0.3"/>
  <ignoredErrors>
    <ignoredError sqref="F1:G1 E1 E3:E1048576" listDataValidatio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64BA-930E-47C8-8AEE-2E58C31FED52}">
  <dimension ref="A1:M8"/>
  <sheetViews>
    <sheetView zoomScale="74" zoomScaleNormal="106" workbookViewId="0">
      <selection activeCell="H11" sqref="H11"/>
    </sheetView>
  </sheetViews>
  <sheetFormatPr defaultRowHeight="15" x14ac:dyDescent="0.25"/>
  <cols>
    <col min="1" max="1" width="13.7109375" customWidth="1"/>
    <col min="2" max="2" width="16.5703125" customWidth="1"/>
    <col min="3" max="3" width="16.7109375" customWidth="1"/>
    <col min="4" max="4" width="16.28515625" customWidth="1"/>
    <col min="6" max="6" width="14.28515625" customWidth="1"/>
    <col min="7" max="7" width="23.140625" customWidth="1"/>
    <col min="13" max="13" width="18" customWidth="1"/>
    <col min="14" max="14" width="17.85546875" customWidth="1"/>
    <col min="15" max="15" width="15" customWidth="1"/>
  </cols>
  <sheetData>
    <row r="1" spans="1:13" x14ac:dyDescent="0.25">
      <c r="A1" s="1" t="s">
        <v>4</v>
      </c>
      <c r="B1" s="1" t="s">
        <v>201</v>
      </c>
    </row>
    <row r="2" spans="1:13" ht="30" x14ac:dyDescent="0.25">
      <c r="A2" s="2" t="s">
        <v>194</v>
      </c>
      <c r="B2" s="6">
        <f>SUM(Master_Clinical_Table[Consultation Fee])</f>
        <v>8350</v>
      </c>
      <c r="E2" s="2" t="s">
        <v>4</v>
      </c>
      <c r="F2" s="6" t="s">
        <v>194</v>
      </c>
      <c r="L2" s="1" t="s">
        <v>4</v>
      </c>
      <c r="M2" s="1" t="s">
        <v>196</v>
      </c>
    </row>
    <row r="3" spans="1:13" ht="45" x14ac:dyDescent="0.25">
      <c r="A3" s="2" t="s">
        <v>195</v>
      </c>
      <c r="B3" s="6">
        <f>SUM(Master_Clinical_Table[Patient Balance])</f>
        <v>3797</v>
      </c>
      <c r="E3" s="2" t="s">
        <v>80</v>
      </c>
      <c r="F3" s="6">
        <f>SUMIF(Master_Clinical_Table[Department],"Cardiology",Master_Clinical_Table[Consultation Fee])</f>
        <v>2500</v>
      </c>
      <c r="L3" s="2" t="s">
        <v>80</v>
      </c>
      <c r="M3" s="6">
        <f>COUNTIF(Master_Clinical_Table[Department],"Cardiology")</f>
        <v>10</v>
      </c>
    </row>
    <row r="4" spans="1:13" ht="30" x14ac:dyDescent="0.25">
      <c r="A4" s="2" t="s">
        <v>196</v>
      </c>
      <c r="B4" s="6">
        <f>COUNTA(Master_Clinical_Table[Visit ID])</f>
        <v>37</v>
      </c>
      <c r="E4" s="2" t="s">
        <v>99</v>
      </c>
      <c r="F4" s="6">
        <f>SUMIF(Master_Clinical_Table[Department],"Orthopedics",Master_Clinical_Table[Consultation Fee])</f>
        <v>2700</v>
      </c>
      <c r="L4" s="2" t="s">
        <v>99</v>
      </c>
      <c r="M4" s="6">
        <f>COUNTIF(Master_Clinical_Table[Department],"Orthopedics")</f>
        <v>9</v>
      </c>
    </row>
    <row r="5" spans="1:13" ht="30" x14ac:dyDescent="0.25">
      <c r="A5" s="2" t="s">
        <v>197</v>
      </c>
      <c r="B5" s="6" t="str">
        <f t="array" ref="B5">INDEX(Master_Clinical_Table[Department],MATCH(MAX(COUNTIF(Master_Clinical_Table[Department],Master_Clinical_Table[Department])),COUNTIF(Master_Clinical_Table[Department],Master_Clinical_Table[Department]),0))</f>
        <v>Cardiology</v>
      </c>
      <c r="E5" s="2" t="s">
        <v>30</v>
      </c>
      <c r="F5" s="6">
        <f>SUMIF(Master_Clinical_Table[Department],"Pediatrics",Master_Clinical_Table[Consultation Fee])</f>
        <v>1800</v>
      </c>
      <c r="L5" s="2" t="s">
        <v>30</v>
      </c>
      <c r="M5" s="6">
        <f>COUNTIF(Master_Clinical_Table[Department],"Pediatrics")</f>
        <v>9</v>
      </c>
    </row>
    <row r="6" spans="1:13" ht="45" x14ac:dyDescent="0.25">
      <c r="A6" s="2" t="s">
        <v>198</v>
      </c>
      <c r="B6" s="6" t="str">
        <f t="array" ref="B6">INDEX(Master_Clinical_Table[Diagnosis],MATCH(MAX(COUNTIF(Master_Clinical_Table[Diagnosis],Master_Clinical_Table[Diagnosis])),COUNTIF(Master_Clinical_Table[Diagnosis],Master_Clinical_Table[Diagnosis]),0))</f>
        <v>Hypertension</v>
      </c>
      <c r="E6" s="2" t="s">
        <v>57</v>
      </c>
      <c r="F6" s="6">
        <f>SUMIF(Master_Clinical_Table[Department],"General Practice",Master_Clinical_Table[Consultation Fee])</f>
        <v>1350</v>
      </c>
      <c r="L6" s="2" t="s">
        <v>57</v>
      </c>
      <c r="M6" s="6">
        <f>COUNTIF(Master_Clinical_Table[Department],"General Practice")</f>
        <v>9</v>
      </c>
    </row>
    <row r="7" spans="1:13" ht="30" x14ac:dyDescent="0.25">
      <c r="A7" s="2" t="s">
        <v>199</v>
      </c>
      <c r="B7" s="6">
        <f>COUNTIF(Master_Clinical_Table[Payment Status],"Paid")</f>
        <v>32</v>
      </c>
    </row>
    <row r="8" spans="1:13" ht="30" x14ac:dyDescent="0.25">
      <c r="A8" s="2" t="s">
        <v>200</v>
      </c>
      <c r="B8" s="6">
        <f>COUNTIF(Master_Clinical_Table[Payment Status],"Pending")</f>
        <v>5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195D9B-F5AB-4855-A4EB-FB9AD9138F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 Visit</vt:lpstr>
      <vt:lpstr>Doc. Database</vt:lpstr>
      <vt:lpstr>Billing Records</vt:lpstr>
      <vt:lpstr>Master Clinical Table</vt:lpstr>
      <vt:lpstr>Input Sheet</vt:lpstr>
      <vt:lpstr>Summary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Nurudeen Atanda</dc:creator>
  <cp:lastModifiedBy>Nurudeen Atanda</cp:lastModifiedBy>
  <dcterms:created xsi:type="dcterms:W3CDTF">2026-05-22T14:13:34Z</dcterms:created>
  <dcterms:modified xsi:type="dcterms:W3CDTF">2026-05-23T11:32:34Z</dcterms:modified>
</cp:coreProperties>
</file>